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hamna\Downloads\Project\"/>
    </mc:Choice>
  </mc:AlternateContent>
  <xr:revisionPtr revIDLastSave="0" documentId="13_ncr:1_{B0D7209F-6BFF-4B9F-8D47-D66B4C3859CF}" xr6:coauthVersionLast="47" xr6:coauthVersionMax="47" xr10:uidLastSave="{00000000-0000-0000-0000-000000000000}"/>
  <bookViews>
    <workbookView xWindow="-110" yWindow="-110" windowWidth="19420" windowHeight="10300" firstSheet="3" activeTab="3" xr2:uid="{00000000-000D-0000-FFFF-FFFF00000000}"/>
  </bookViews>
  <sheets>
    <sheet name="Pivot Table Industry" sheetId="2" r:id="rId1"/>
    <sheet name="Pivot Table Ad Type" sheetId="3" r:id="rId2"/>
    <sheet name="Data Validation" sheetId="4" r:id="rId3"/>
    <sheet name="Sheet1" sheetId="1" r:id="rId4"/>
    <sheet name="Objective 1 Analysis" sheetId="6" r:id="rId5"/>
    <sheet name="Objective 2 CTR" sheetId="8" r:id="rId6"/>
    <sheet name="Objective 2 Conversions" sheetId="9" r:id="rId7"/>
    <sheet name="Objective 3 CTR" sheetId="10" r:id="rId8"/>
    <sheet name="Objective 3 Conversions" sheetId="11" r:id="rId9"/>
  </sheets>
  <definedNames>
    <definedName name="_xlnm._FilterDatabase" localSheetId="3" hidden="1">Sheet1!$A$1:$K$353</definedName>
  </definedName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6" l="1"/>
  <c r="D9" i="6"/>
  <c r="D8" i="6"/>
  <c r="D7" i="6"/>
  <c r="D6" i="6"/>
  <c r="D5" i="6"/>
  <c r="D4" i="6"/>
  <c r="D3" i="6"/>
  <c r="D2" i="6"/>
  <c r="C9" i="6"/>
  <c r="C8" i="6"/>
  <c r="C7" i="6"/>
  <c r="C6" i="6"/>
  <c r="C5" i="6"/>
  <c r="C4" i="6"/>
  <c r="C3" i="6"/>
  <c r="C2" i="6"/>
  <c r="B9" i="6"/>
  <c r="B8" i="6"/>
  <c r="B7" i="6"/>
  <c r="B6" i="6"/>
  <c r="B5" i="6"/>
  <c r="B3" i="6"/>
  <c r="B2" i="6"/>
  <c r="J3" i="1"/>
  <c r="J4" i="1"/>
  <c r="J5" i="1"/>
  <c r="C8" i="4" s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2" i="1"/>
  <c r="I3" i="1"/>
  <c r="I4" i="1"/>
  <c r="I5" i="1"/>
  <c r="C7" i="4" s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2" i="1"/>
  <c r="H3" i="1"/>
  <c r="H4" i="1"/>
  <c r="H5" i="1"/>
  <c r="C6" i="4" s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2" i="1"/>
  <c r="C5" i="4"/>
  <c r="B5" i="4"/>
  <c r="C4" i="4"/>
  <c r="B4" i="4"/>
  <c r="C3" i="4"/>
  <c r="B3" i="4"/>
  <c r="C2" i="4"/>
  <c r="B2" i="4"/>
  <c r="B8" i="4" l="1"/>
  <c r="B7" i="4"/>
  <c r="B6" i="4"/>
  <c r="C9" i="4"/>
  <c r="B9" i="4"/>
</calcChain>
</file>

<file path=xl/sharedStrings.xml><?xml version="1.0" encoding="utf-8"?>
<sst xmlns="http://schemas.openxmlformats.org/spreadsheetml/2006/main" count="1125" uniqueCount="37">
  <si>
    <t>Industry</t>
  </si>
  <si>
    <t>Month</t>
  </si>
  <si>
    <t>Ad Type</t>
  </si>
  <si>
    <t>Reach</t>
  </si>
  <si>
    <t>Impressions</t>
  </si>
  <si>
    <t>Clicks</t>
  </si>
  <si>
    <t>Amount Spent (INR)</t>
  </si>
  <si>
    <t>CTR (%)</t>
  </si>
  <si>
    <t>CPC (INR)</t>
  </si>
  <si>
    <t>CPM (INR)</t>
  </si>
  <si>
    <t>Conversions</t>
  </si>
  <si>
    <t>Education</t>
  </si>
  <si>
    <t>Automobile</t>
  </si>
  <si>
    <t>Real Estate</t>
  </si>
  <si>
    <t>Food &amp; Restaurant</t>
  </si>
  <si>
    <t>January</t>
  </si>
  <si>
    <t>February</t>
  </si>
  <si>
    <t>March</t>
  </si>
  <si>
    <t>April</t>
  </si>
  <si>
    <t>Image</t>
  </si>
  <si>
    <t>Video</t>
  </si>
  <si>
    <t>Carousel</t>
  </si>
  <si>
    <t>Row Labels</t>
  </si>
  <si>
    <t>Grand Total</t>
  </si>
  <si>
    <t>Count of Industry</t>
  </si>
  <si>
    <t>Count of Ad Type</t>
  </si>
  <si>
    <t>Minimum</t>
  </si>
  <si>
    <t>Maximum</t>
  </si>
  <si>
    <r>
      <rPr>
        <b/>
        <sz val="11"/>
        <color theme="1"/>
        <rFont val="Calibri"/>
        <family val="2"/>
        <scheme val="minor"/>
      </rPr>
      <t>Variable</t>
    </r>
    <r>
      <rPr>
        <sz val="11"/>
        <color theme="1"/>
        <rFont val="Calibri"/>
        <family val="2"/>
        <scheme val="minor"/>
      </rPr>
      <t xml:space="preserve"> </t>
    </r>
  </si>
  <si>
    <t>Amount Spent</t>
  </si>
  <si>
    <t>CTR</t>
  </si>
  <si>
    <t>CPC</t>
  </si>
  <si>
    <t>CPM</t>
  </si>
  <si>
    <t>Mean</t>
  </si>
  <si>
    <t xml:space="preserve">Metric </t>
  </si>
  <si>
    <t>Average of CTR (%)</t>
  </si>
  <si>
    <t>Average of Conversions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</si>
</sst>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[dataset.xlsx]Objective 2 CTR!PivotTable3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CTR Across Industries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'Objective 2 CTR'!$B$3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'Objective 2 CTR'!$A$4:$A$7</c:f>
              <c:strCache>
                <c:ptCount val="4"/>
                <c:pt idx="0">
                  <c:v>Automobile</c:v>
                </c:pt>
                <c:pt idx="1">
                  <c:v>Education</c:v>
                </c:pt>
                <c:pt idx="2">
                  <c:v>Food &amp; Restaurant</c:v>
                </c:pt>
                <c:pt idx="3">
                  <c:v>Real Estate</c:v>
                </c:pt>
              </c:strCache>
            </c:strRef>
          </c:cat>
          <c:val>
            <c:numRef>
              <c:f>'Objective 2 CTR'!$B$4:$B$7</c:f>
              <c:numCache>
                <c:formatCode>0.00</c:formatCode>
                <c:ptCount val="4"/>
                <c:pt idx="0">
                  <c:v>1.5240963855421688</c:v>
                </c:pt>
                <c:pt idx="1">
                  <c:v>3.4447826086956503</c:v>
                </c:pt>
                <c:pt idx="2">
                  <c:v>3.7695145631067968</c:v>
                </c:pt>
                <c:pt idx="3">
                  <c:v>1.2727027027027022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0D-430E-8EE8-05450B0AAC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51422671"/>
        <c:axId val="1751426031"/>
      </c:barChart>
      <c:catAx>
        <c:axId val="1751422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426031"/>
        <c:crosses val="autoZero"/>
        <c:auto val="1"/>
        <c:lblAlgn val="ctr"/>
        <c:lblOffset val="100"/>
        <c:noMultiLvlLbl val="0"/>
      </c:catAx>
      <c:valAx>
        <c:axId val="175142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CTR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422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[dataset.xlsx]Objective 2 Conversions!PivotTable1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Conversions Across Industries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'Objective 2 Conversions'!$B$3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'Objective 2 Conversions'!$A$4:$A$7</c:f>
              <c:strCache>
                <c:ptCount val="4"/>
                <c:pt idx="0">
                  <c:v>Automobile</c:v>
                </c:pt>
                <c:pt idx="1">
                  <c:v>Education</c:v>
                </c:pt>
                <c:pt idx="2">
                  <c:v>Food &amp; Restaurant</c:v>
                </c:pt>
                <c:pt idx="3">
                  <c:v>Real Estate</c:v>
                </c:pt>
              </c:strCache>
            </c:strRef>
          </c:cat>
          <c:val>
            <c:numRef>
              <c:f>'Objective 2 Conversions'!$B$4:$B$7</c:f>
              <c:numCache>
                <c:formatCode>0.00</c:formatCode>
                <c:ptCount val="4"/>
                <c:pt idx="0">
                  <c:v>28.963855421686748</c:v>
                </c:pt>
                <c:pt idx="1">
                  <c:v>59.260869565217391</c:v>
                </c:pt>
                <c:pt idx="2">
                  <c:v>82.572815533980588</c:v>
                </c:pt>
                <c:pt idx="3">
                  <c:v>20.148648648648649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52-4028-963B-406813C7B9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51385711"/>
        <c:axId val="1751381391"/>
      </c:barChart>
      <c:catAx>
        <c:axId val="1751385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381391"/>
        <c:crosses val="autoZero"/>
        <c:auto val="1"/>
        <c:lblAlgn val="ctr"/>
        <c:lblOffset val="100"/>
        <c:noMultiLvlLbl val="0"/>
      </c:catAx>
      <c:valAx>
        <c:axId val="175138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Conversions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385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[dataset.xlsx]Objective 3 CTR!PivotTable2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CTR Across Advertisement Formats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'Objective 3 CTR'!$B$3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'Objective 3 CTR'!$A$4:$A$6</c:f>
              <c:strCache>
                <c:ptCount val="3"/>
                <c:pt idx="0">
                  <c:v>Carousel</c:v>
                </c:pt>
                <c:pt idx="1">
                  <c:v>Image</c:v>
                </c:pt>
                <c:pt idx="2">
                  <c:v>Video</c:v>
                </c:pt>
              </c:strCache>
            </c:strRef>
          </c:cat>
          <c:val>
            <c:numRef>
              <c:f>'Objective 3 CTR'!$B$4:$B$6</c:f>
              <c:numCache>
                <c:formatCode>0.00</c:formatCode>
                <c:ptCount val="3"/>
                <c:pt idx="0">
                  <c:v>2.8692708333333332</c:v>
                </c:pt>
                <c:pt idx="1">
                  <c:v>2.804680851063829</c:v>
                </c:pt>
                <c:pt idx="2">
                  <c:v>2.3874691358024696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8B-49EB-BA39-5EDB7F7CCA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51393871"/>
        <c:axId val="1751394351"/>
      </c:barChart>
      <c:catAx>
        <c:axId val="1751393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394351"/>
        <c:crosses val="autoZero"/>
        <c:auto val="1"/>
        <c:lblAlgn val="ctr"/>
        <c:lblOffset val="100"/>
        <c:noMultiLvlLbl val="0"/>
      </c:catAx>
      <c:valAx>
        <c:axId val="175139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CTR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393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[dataset.xlsx]Objective 3 Conversions!PivotTable3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Conversions Across Advertisement Formats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'Objective 3 Conversions'!$B$3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'Objective 3 Conversions'!$A$4:$A$6</c:f>
              <c:strCache>
                <c:ptCount val="3"/>
                <c:pt idx="0">
                  <c:v>Carousel</c:v>
                </c:pt>
                <c:pt idx="1">
                  <c:v>Image</c:v>
                </c:pt>
                <c:pt idx="2">
                  <c:v>Video</c:v>
                </c:pt>
              </c:strCache>
            </c:strRef>
          </c:cat>
          <c:val>
            <c:numRef>
              <c:f>'Objective 3 Conversions'!$B$4:$B$6</c:f>
              <c:numCache>
                <c:formatCode>0.00</c:formatCode>
                <c:ptCount val="3"/>
                <c:pt idx="0">
                  <c:v>56.125</c:v>
                </c:pt>
                <c:pt idx="1">
                  <c:v>55.531914893617021</c:v>
                </c:pt>
                <c:pt idx="2">
                  <c:v>44.716049382716051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78-42F0-83D4-CCCA849D2E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51404911"/>
        <c:axId val="1751405391"/>
      </c:barChart>
      <c:catAx>
        <c:axId val="175140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405391"/>
        <c:crosses val="autoZero"/>
        <c:auto val="1"/>
        <c:lblAlgn val="ctr"/>
        <c:lblOffset val="100"/>
        <c:noMultiLvlLbl val="0"/>
      </c:catAx>
      <c:valAx>
        <c:axId val="175140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Conversions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404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13229</xdr:colOff>
      <xdr:row>0</xdr:row>
      <xdr:rowOff>138906</xdr:rowOff>
    </xdr:from>
    <xdr:to>
      <xdr:col>12</xdr:col>
      <xdr:colOff>496093</xdr:colOff>
      <xdr:row>17</xdr:row>
      <xdr:rowOff>52916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CFA8CB-DA21-2482-3D96-99D530D6A2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581024</xdr:colOff>
      <xdr:row>0</xdr:row>
      <xdr:rowOff>69850</xdr:rowOff>
    </xdr:from>
    <xdr:to>
      <xdr:col>11</xdr:col>
      <xdr:colOff>342900</xdr:colOff>
      <xdr:row>16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493231-B3D7-334D-5696-01A9E4F538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339724</xdr:colOff>
      <xdr:row>0</xdr:row>
      <xdr:rowOff>120650</xdr:rowOff>
    </xdr:from>
    <xdr:to>
      <xdr:col>12</xdr:col>
      <xdr:colOff>253999</xdr:colOff>
      <xdr:row>15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3E7231-4568-EE53-D5A9-3DA12BA102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</xdr:colOff>
      <xdr:row>0</xdr:row>
      <xdr:rowOff>120650</xdr:rowOff>
    </xdr:from>
    <xdr:to>
      <xdr:col>11</xdr:col>
      <xdr:colOff>371475</xdr:colOff>
      <xdr:row>15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05143E-1EF4-8DFF-02CF-1708BC5FE0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mna muhammed" refreshedDate="46184.558575347219" createdVersion="8" refreshedVersion="8" minRefreshableVersion="3" recordCount="352" xr:uid="{1F1A3E2F-13E0-456E-9C24-2038DBD29EED}">
  <cacheSource type="worksheet">
    <worksheetSource ref="A1:K353" sheet="Sheet1"/>
  </cacheSource>
  <cacheFields count="11">
    <cacheField name="Industry" numFmtId="0">
      <sharedItems count="4">
        <s v="Education"/>
        <s v="Automobile"/>
        <s v="Real Estate"/>
        <s v="Food &amp; Restaurant"/>
      </sharedItems>
    </cacheField>
    <cacheField name="Month" numFmtId="0">
      <sharedItems/>
    </cacheField>
    <cacheField name="Ad Type" numFmtId="0">
      <sharedItems count="3">
        <s v="Carousel"/>
        <s v="Image"/>
        <s v="Video"/>
      </sharedItems>
    </cacheField>
    <cacheField name="Reach" numFmtId="0">
      <sharedItems containsSemiMixedTypes="0" containsString="0" containsNumber="1" containsInteger="1" minValue="5635" maxValue="24999"/>
    </cacheField>
    <cacheField name="Impressions" numFmtId="0">
      <sharedItems containsSemiMixedTypes="0" containsString="0" containsNumber="1" containsInteger="1" minValue="13029" maxValue="44621"/>
    </cacheField>
    <cacheField name="Clicks" numFmtId="0">
      <sharedItems containsSemiMixedTypes="0" containsString="0" containsNumber="1" containsInteger="1" minValue="165" maxValue="1970"/>
    </cacheField>
    <cacheField name="Amount Spent (INR)" numFmtId="0">
      <sharedItems containsSemiMixedTypes="0" containsString="0" containsNumber="1" minValue="664.74" maxValue="7737.24"/>
    </cacheField>
    <cacheField name="CTR (%)" numFmtId="0">
      <sharedItems containsSemiMixedTypes="0" containsString="0" containsNumber="1" minValue="0.51" maxValue="9.3699999999999992"/>
    </cacheField>
    <cacheField name="CPC (INR)" numFmtId="0">
      <sharedItems containsSemiMixedTypes="0" containsString="0" containsNumber="1" minValue="0.47" maxValue="40.99"/>
    </cacheField>
    <cacheField name="CPM (INR)" numFmtId="0">
      <sharedItems containsSemiMixedTypes="0" containsString="0" containsNumber="1" minValue="25.02" maxValue="249.77"/>
    </cacheField>
    <cacheField name="Conversions" numFmtId="0">
      <sharedItems containsSemiMixedTypes="0" containsString="0" containsNumber="1" containsInteger="1" minValue="0" maxValue="2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2">
  <r>
    <x v="0"/>
    <s v="January"/>
    <x v="0"/>
    <n v="17763"/>
    <n v="30759"/>
    <n v="759"/>
    <n v="1619.77"/>
    <n v="2.4700000000000002"/>
    <n v="2.13"/>
    <n v="52.66"/>
    <n v="82"/>
  </r>
  <r>
    <x v="0"/>
    <s v="January"/>
    <x v="1"/>
    <n v="16669"/>
    <n v="25788"/>
    <n v="812"/>
    <n v="2490.35"/>
    <n v="3.15"/>
    <n v="3.07"/>
    <n v="96.57"/>
    <n v="46"/>
  </r>
  <r>
    <x v="0"/>
    <s v="January"/>
    <x v="1"/>
    <n v="17064"/>
    <n v="22371"/>
    <n v="1013"/>
    <n v="2071.11"/>
    <n v="4.53"/>
    <n v="2.04"/>
    <n v="92.58"/>
    <n v="113"/>
  </r>
  <r>
    <x v="0"/>
    <s v="January"/>
    <x v="1"/>
    <n v="19145"/>
    <n v="26764"/>
    <n v="1057"/>
    <n v="1575.86"/>
    <n v="3.95"/>
    <n v="1.49"/>
    <n v="58.88"/>
    <n v="48"/>
  </r>
  <r>
    <x v="0"/>
    <s v="January"/>
    <x v="1"/>
    <n v="19169"/>
    <n v="33716"/>
    <n v="970"/>
    <n v="2674.69"/>
    <n v="2.88"/>
    <n v="2.76"/>
    <n v="79.33"/>
    <n v="72"/>
  </r>
  <r>
    <x v="0"/>
    <s v="January"/>
    <x v="0"/>
    <n v="20302"/>
    <n v="30763"/>
    <n v="627"/>
    <n v="1960.83"/>
    <n v="2.04"/>
    <n v="3.13"/>
    <n v="63.74"/>
    <n v="61"/>
  </r>
  <r>
    <x v="0"/>
    <s v="January"/>
    <x v="1"/>
    <n v="15123"/>
    <n v="22250"/>
    <n v="1033"/>
    <n v="1243.55"/>
    <n v="4.6399999999999997"/>
    <n v="1.2"/>
    <n v="55.89"/>
    <n v="85"/>
  </r>
  <r>
    <x v="0"/>
    <s v="January"/>
    <x v="1"/>
    <n v="19830"/>
    <n v="30094"/>
    <n v="731"/>
    <n v="2217.33"/>
    <n v="2.4300000000000002"/>
    <n v="3.03"/>
    <n v="73.680000000000007"/>
    <n v="72"/>
  </r>
  <r>
    <x v="0"/>
    <s v="January"/>
    <x v="1"/>
    <n v="16201"/>
    <n v="33544"/>
    <n v="941"/>
    <n v="1870.41"/>
    <n v="2.81"/>
    <n v="1.99"/>
    <n v="55.76"/>
    <n v="39"/>
  </r>
  <r>
    <x v="0"/>
    <s v="January"/>
    <x v="1"/>
    <n v="10927"/>
    <n v="30840"/>
    <n v="918"/>
    <n v="2315.4699999999998"/>
    <n v="2.98"/>
    <n v="2.52"/>
    <n v="75.08"/>
    <n v="89"/>
  </r>
  <r>
    <x v="0"/>
    <s v="January"/>
    <x v="0"/>
    <n v="9743"/>
    <n v="33154"/>
    <n v="838"/>
    <n v="3112.17"/>
    <n v="2.5299999999999998"/>
    <n v="3.71"/>
    <n v="93.87"/>
    <n v="38"/>
  </r>
  <r>
    <x v="0"/>
    <s v="January"/>
    <x v="1"/>
    <n v="12889"/>
    <n v="33390"/>
    <n v="994"/>
    <n v="2135.62"/>
    <n v="2.98"/>
    <n v="2.15"/>
    <n v="63.96"/>
    <n v="80"/>
  </r>
  <r>
    <x v="0"/>
    <s v="January"/>
    <x v="1"/>
    <n v="17977"/>
    <n v="26628"/>
    <n v="1073"/>
    <n v="1415.54"/>
    <n v="4.03"/>
    <n v="1.32"/>
    <n v="53.16"/>
    <n v="80"/>
  </r>
  <r>
    <x v="0"/>
    <s v="January"/>
    <x v="1"/>
    <n v="10504"/>
    <n v="25907"/>
    <n v="1017"/>
    <n v="2586.81"/>
    <n v="3.93"/>
    <n v="2.54"/>
    <n v="99.85"/>
    <n v="38"/>
  </r>
  <r>
    <x v="0"/>
    <s v="January"/>
    <x v="1"/>
    <n v="20492"/>
    <n v="29285"/>
    <n v="1257"/>
    <n v="2066.64"/>
    <n v="4.29"/>
    <n v="1.64"/>
    <n v="70.569999999999993"/>
    <n v="134"/>
  </r>
  <r>
    <x v="0"/>
    <s v="January"/>
    <x v="1"/>
    <n v="16837"/>
    <n v="34645"/>
    <n v="824"/>
    <n v="1574.62"/>
    <n v="2.38"/>
    <n v="1.91"/>
    <n v="45.45"/>
    <n v="52"/>
  </r>
  <r>
    <x v="0"/>
    <s v="January"/>
    <x v="1"/>
    <n v="16689"/>
    <n v="21704"/>
    <n v="827"/>
    <n v="929.58"/>
    <n v="3.81"/>
    <n v="1.1200000000000001"/>
    <n v="42.83"/>
    <n v="41"/>
  </r>
  <r>
    <x v="0"/>
    <s v="January"/>
    <x v="1"/>
    <n v="17813"/>
    <n v="28466"/>
    <n v="1264"/>
    <n v="1325.95"/>
    <n v="4.4400000000000004"/>
    <n v="1.05"/>
    <n v="46.58"/>
    <n v="4"/>
  </r>
  <r>
    <x v="0"/>
    <s v="January"/>
    <x v="1"/>
    <n v="16005"/>
    <n v="21125"/>
    <n v="1155"/>
    <n v="1640.36"/>
    <n v="5.47"/>
    <n v="1.42"/>
    <n v="77.650000000000006"/>
    <n v="85"/>
  </r>
  <r>
    <x v="0"/>
    <s v="January"/>
    <x v="1"/>
    <n v="9832"/>
    <n v="24675"/>
    <n v="999"/>
    <n v="2159.56"/>
    <n v="4.05"/>
    <n v="2.16"/>
    <n v="87.52"/>
    <n v="76"/>
  </r>
  <r>
    <x v="0"/>
    <s v="January"/>
    <x v="1"/>
    <n v="21626"/>
    <n v="33151"/>
    <n v="1269"/>
    <n v="2165.75"/>
    <n v="3.83"/>
    <n v="1.71"/>
    <n v="65.33"/>
    <n v="85"/>
  </r>
  <r>
    <x v="0"/>
    <s v="February"/>
    <x v="0"/>
    <n v="11923"/>
    <n v="17397"/>
    <n v="844"/>
    <n v="762.16"/>
    <n v="4.8499999999999996"/>
    <n v="0.9"/>
    <n v="43.81"/>
    <n v="66"/>
  </r>
  <r>
    <x v="0"/>
    <s v="February"/>
    <x v="1"/>
    <n v="11946"/>
    <n v="34120"/>
    <n v="739"/>
    <n v="2146.15"/>
    <n v="2.17"/>
    <n v="2.9"/>
    <n v="62.9"/>
    <n v="71"/>
  </r>
  <r>
    <x v="0"/>
    <s v="February"/>
    <x v="1"/>
    <n v="9290"/>
    <n v="14883"/>
    <n v="782"/>
    <n v="1484.88"/>
    <n v="5.25"/>
    <n v="1.9"/>
    <n v="99.77"/>
    <n v="0"/>
  </r>
  <r>
    <x v="0"/>
    <s v="February"/>
    <x v="2"/>
    <n v="19991"/>
    <n v="33950"/>
    <n v="674"/>
    <n v="2435.91"/>
    <n v="1.99"/>
    <n v="3.61"/>
    <n v="71.75"/>
    <n v="39"/>
  </r>
  <r>
    <x v="0"/>
    <s v="February"/>
    <x v="2"/>
    <n v="21369"/>
    <n v="28912"/>
    <n v="576"/>
    <n v="2840.89"/>
    <n v="1.99"/>
    <n v="4.93"/>
    <n v="98.26"/>
    <n v="0"/>
  </r>
  <r>
    <x v="0"/>
    <s v="February"/>
    <x v="2"/>
    <n v="20461"/>
    <n v="35326"/>
    <n v="815"/>
    <n v="3237.63"/>
    <n v="2.31"/>
    <n v="3.97"/>
    <n v="91.65"/>
    <n v="59"/>
  </r>
  <r>
    <x v="0"/>
    <s v="February"/>
    <x v="0"/>
    <n v="20547"/>
    <n v="28771"/>
    <n v="755"/>
    <n v="1170.69"/>
    <n v="2.62"/>
    <n v="1.55"/>
    <n v="40.69"/>
    <n v="90"/>
  </r>
  <r>
    <x v="0"/>
    <s v="February"/>
    <x v="0"/>
    <n v="10103"/>
    <n v="34751"/>
    <n v="863"/>
    <n v="2892.67"/>
    <n v="2.48"/>
    <n v="3.35"/>
    <n v="83.24"/>
    <n v="38"/>
  </r>
  <r>
    <x v="0"/>
    <s v="February"/>
    <x v="1"/>
    <n v="15787"/>
    <n v="29530"/>
    <n v="1044"/>
    <n v="2388.98"/>
    <n v="3.54"/>
    <n v="2.29"/>
    <n v="80.900000000000006"/>
    <n v="54"/>
  </r>
  <r>
    <x v="0"/>
    <s v="February"/>
    <x v="2"/>
    <n v="10705"/>
    <n v="22601"/>
    <n v="1116"/>
    <n v="1632.24"/>
    <n v="4.9400000000000004"/>
    <n v="1.46"/>
    <n v="72.22"/>
    <n v="70"/>
  </r>
  <r>
    <x v="0"/>
    <s v="February"/>
    <x v="2"/>
    <n v="16645"/>
    <n v="31576"/>
    <n v="1223"/>
    <n v="1768.57"/>
    <n v="3.87"/>
    <n v="1.45"/>
    <n v="56.01"/>
    <n v="131"/>
  </r>
  <r>
    <x v="0"/>
    <s v="February"/>
    <x v="2"/>
    <n v="14932"/>
    <n v="22881"/>
    <n v="1154"/>
    <n v="1795.24"/>
    <n v="5.04"/>
    <n v="1.56"/>
    <n v="78.459999999999994"/>
    <n v="27"/>
  </r>
  <r>
    <x v="0"/>
    <s v="February"/>
    <x v="0"/>
    <n v="16835"/>
    <n v="34259"/>
    <n v="1052"/>
    <n v="1599.55"/>
    <n v="3.07"/>
    <n v="1.52"/>
    <n v="46.69"/>
    <n v="68"/>
  </r>
  <r>
    <x v="0"/>
    <s v="February"/>
    <x v="0"/>
    <n v="19959"/>
    <n v="29241"/>
    <n v="1408"/>
    <n v="1932.54"/>
    <n v="4.82"/>
    <n v="1.37"/>
    <n v="66.09"/>
    <n v="73"/>
  </r>
  <r>
    <x v="0"/>
    <s v="February"/>
    <x v="0"/>
    <n v="19680"/>
    <n v="30691"/>
    <n v="864"/>
    <n v="2063.0500000000002"/>
    <n v="2.82"/>
    <n v="2.39"/>
    <n v="67.22"/>
    <n v="99"/>
  </r>
  <r>
    <x v="0"/>
    <s v="February"/>
    <x v="1"/>
    <n v="14537"/>
    <n v="29902"/>
    <n v="1355"/>
    <n v="2907.37"/>
    <n v="4.53"/>
    <n v="2.15"/>
    <n v="97.23"/>
    <n v="111"/>
  </r>
  <r>
    <x v="0"/>
    <s v="February"/>
    <x v="1"/>
    <n v="18647"/>
    <n v="30359"/>
    <n v="1004"/>
    <n v="2809.73"/>
    <n v="3.31"/>
    <n v="2.8"/>
    <n v="92.55"/>
    <n v="28"/>
  </r>
  <r>
    <x v="0"/>
    <s v="February"/>
    <x v="2"/>
    <n v="15177"/>
    <n v="34469"/>
    <n v="756"/>
    <n v="1923.37"/>
    <n v="2.19"/>
    <n v="2.54"/>
    <n v="55.8"/>
    <n v="63"/>
  </r>
  <r>
    <x v="0"/>
    <s v="February"/>
    <x v="2"/>
    <n v="16479"/>
    <n v="28819"/>
    <n v="957"/>
    <n v="2018.48"/>
    <n v="3.32"/>
    <n v="2.11"/>
    <n v="70.040000000000006"/>
    <n v="72"/>
  </r>
  <r>
    <x v="0"/>
    <s v="February"/>
    <x v="2"/>
    <n v="9982"/>
    <n v="21099"/>
    <n v="757"/>
    <n v="1070.1400000000001"/>
    <n v="3.59"/>
    <n v="1.41"/>
    <n v="50.72"/>
    <n v="69"/>
  </r>
  <r>
    <x v="0"/>
    <s v="February"/>
    <x v="2"/>
    <n v="11681"/>
    <n v="17283"/>
    <n v="950"/>
    <n v="1637.74"/>
    <n v="5.5"/>
    <n v="1.72"/>
    <n v="94.76"/>
    <n v="0"/>
  </r>
  <r>
    <x v="0"/>
    <s v="February"/>
    <x v="2"/>
    <n v="13539"/>
    <n v="18289"/>
    <n v="755"/>
    <n v="1686.79"/>
    <n v="4.13"/>
    <n v="2.23"/>
    <n v="92.23"/>
    <n v="81"/>
  </r>
  <r>
    <x v="0"/>
    <s v="February"/>
    <x v="2"/>
    <n v="17638"/>
    <n v="32004"/>
    <n v="1122"/>
    <n v="1853.35"/>
    <n v="3.51"/>
    <n v="1.65"/>
    <n v="57.91"/>
    <n v="70"/>
  </r>
  <r>
    <x v="0"/>
    <s v="February"/>
    <x v="2"/>
    <n v="11770"/>
    <n v="34583"/>
    <n v="1006"/>
    <n v="2709.23"/>
    <n v="2.91"/>
    <n v="2.69"/>
    <n v="78.34"/>
    <n v="74"/>
  </r>
  <r>
    <x v="0"/>
    <s v="February"/>
    <x v="0"/>
    <n v="11608"/>
    <n v="15325"/>
    <n v="690"/>
    <n v="1172.98"/>
    <n v="4.5"/>
    <n v="1.7"/>
    <n v="76.540000000000006"/>
    <n v="38"/>
  </r>
  <r>
    <x v="0"/>
    <s v="February"/>
    <x v="2"/>
    <n v="9163"/>
    <n v="32679"/>
    <n v="625"/>
    <n v="1606.83"/>
    <n v="1.91"/>
    <n v="2.57"/>
    <n v="49.17"/>
    <n v="72"/>
  </r>
  <r>
    <x v="0"/>
    <s v="February"/>
    <x v="2"/>
    <n v="8964"/>
    <n v="19501"/>
    <n v="616"/>
    <n v="1672.21"/>
    <n v="3.16"/>
    <n v="2.71"/>
    <n v="85.75"/>
    <n v="45"/>
  </r>
  <r>
    <x v="0"/>
    <s v="February"/>
    <x v="2"/>
    <n v="9104"/>
    <n v="13029"/>
    <n v="671"/>
    <n v="942.78"/>
    <n v="5.15"/>
    <n v="1.41"/>
    <n v="72.36"/>
    <n v="74"/>
  </r>
  <r>
    <x v="0"/>
    <s v="February"/>
    <x v="2"/>
    <n v="13413"/>
    <n v="19757"/>
    <n v="1076"/>
    <n v="1713.33"/>
    <n v="5.45"/>
    <n v="1.59"/>
    <n v="86.72"/>
    <n v="82"/>
  </r>
  <r>
    <x v="0"/>
    <s v="March"/>
    <x v="0"/>
    <n v="16423"/>
    <n v="25248"/>
    <n v="885"/>
    <n v="1813.31"/>
    <n v="3.51"/>
    <n v="2.0499999999999998"/>
    <n v="71.819999999999993"/>
    <n v="32"/>
  </r>
  <r>
    <x v="0"/>
    <s v="March"/>
    <x v="0"/>
    <n v="12562"/>
    <n v="32236"/>
    <n v="899"/>
    <n v="1290.4100000000001"/>
    <n v="2.79"/>
    <n v="1.44"/>
    <n v="40.03"/>
    <n v="32"/>
  </r>
  <r>
    <x v="0"/>
    <s v="March"/>
    <x v="1"/>
    <n v="11510"/>
    <n v="32632"/>
    <n v="744"/>
    <n v="1939.97"/>
    <n v="2.2799999999999998"/>
    <n v="2.61"/>
    <n v="59.45"/>
    <n v="51"/>
  </r>
  <r>
    <x v="0"/>
    <s v="March"/>
    <x v="1"/>
    <n v="10167"/>
    <n v="31928"/>
    <n v="593"/>
    <n v="1314.48"/>
    <n v="1.86"/>
    <n v="2.2200000000000002"/>
    <n v="41.17"/>
    <n v="37"/>
  </r>
  <r>
    <x v="0"/>
    <s v="March"/>
    <x v="2"/>
    <n v="17440"/>
    <n v="30416"/>
    <n v="885"/>
    <n v="2912.33"/>
    <n v="2.91"/>
    <n v="3.29"/>
    <n v="95.75"/>
    <n v="21"/>
  </r>
  <r>
    <x v="0"/>
    <s v="March"/>
    <x v="2"/>
    <n v="11981"/>
    <n v="31073"/>
    <n v="694"/>
    <n v="2881.09"/>
    <n v="2.23"/>
    <n v="4.1500000000000004"/>
    <n v="92.72"/>
    <n v="37"/>
  </r>
  <r>
    <x v="0"/>
    <s v="March"/>
    <x v="2"/>
    <n v="21230"/>
    <n v="34268"/>
    <n v="612"/>
    <n v="3080.69"/>
    <n v="1.79"/>
    <n v="5.03"/>
    <n v="89.9"/>
    <n v="63"/>
  </r>
  <r>
    <x v="0"/>
    <s v="March"/>
    <x v="0"/>
    <n v="11119"/>
    <n v="17544"/>
    <n v="1119"/>
    <n v="1025.45"/>
    <n v="6.38"/>
    <n v="0.92"/>
    <n v="58.45"/>
    <n v="40"/>
  </r>
  <r>
    <x v="0"/>
    <s v="March"/>
    <x v="2"/>
    <n v="9588"/>
    <n v="34057"/>
    <n v="1427"/>
    <n v="1480.8"/>
    <n v="4.1900000000000004"/>
    <n v="1.04"/>
    <n v="43.48"/>
    <n v="117"/>
  </r>
  <r>
    <x v="0"/>
    <s v="March"/>
    <x v="2"/>
    <n v="15062"/>
    <n v="25384"/>
    <n v="759"/>
    <n v="2352.59"/>
    <n v="2.99"/>
    <n v="3.1"/>
    <n v="92.68"/>
    <n v="35"/>
  </r>
  <r>
    <x v="0"/>
    <s v="March"/>
    <x v="2"/>
    <n v="14939"/>
    <n v="26155"/>
    <n v="833"/>
    <n v="2532.33"/>
    <n v="3.18"/>
    <n v="3.04"/>
    <n v="96.82"/>
    <n v="47"/>
  </r>
  <r>
    <x v="0"/>
    <s v="March"/>
    <x v="0"/>
    <n v="15651"/>
    <n v="34499"/>
    <n v="741"/>
    <n v="1557.28"/>
    <n v="2.15"/>
    <n v="2.1"/>
    <n v="45.14"/>
    <n v="30"/>
  </r>
  <r>
    <x v="0"/>
    <s v="March"/>
    <x v="0"/>
    <n v="19945"/>
    <n v="26815"/>
    <n v="786"/>
    <n v="1854.53"/>
    <n v="2.93"/>
    <n v="2.36"/>
    <n v="69.16"/>
    <n v="47"/>
  </r>
  <r>
    <x v="0"/>
    <s v="March"/>
    <x v="0"/>
    <n v="19032"/>
    <n v="26353"/>
    <n v="919"/>
    <n v="1163.48"/>
    <n v="3.49"/>
    <n v="1.27"/>
    <n v="44.15"/>
    <n v="70"/>
  </r>
  <r>
    <x v="0"/>
    <s v="March"/>
    <x v="0"/>
    <n v="8993"/>
    <n v="25193"/>
    <n v="673"/>
    <n v="2157.5300000000002"/>
    <n v="2.67"/>
    <n v="3.21"/>
    <n v="85.64"/>
    <n v="32"/>
  </r>
  <r>
    <x v="0"/>
    <s v="March"/>
    <x v="0"/>
    <n v="19931"/>
    <n v="31469"/>
    <n v="932"/>
    <n v="2704.76"/>
    <n v="2.96"/>
    <n v="2.9"/>
    <n v="85.95"/>
    <n v="42"/>
  </r>
  <r>
    <x v="0"/>
    <s v="March"/>
    <x v="0"/>
    <n v="21116"/>
    <n v="29240"/>
    <n v="994"/>
    <n v="1394.75"/>
    <n v="3.4"/>
    <n v="1.4"/>
    <n v="47.7"/>
    <n v="90"/>
  </r>
  <r>
    <x v="0"/>
    <s v="April"/>
    <x v="0"/>
    <n v="12073"/>
    <n v="21972"/>
    <n v="1244"/>
    <n v="1505.52"/>
    <n v="5.66"/>
    <n v="1.21"/>
    <n v="68.52"/>
    <n v="101"/>
  </r>
  <r>
    <x v="0"/>
    <s v="April"/>
    <x v="1"/>
    <n v="11116"/>
    <n v="32023"/>
    <n v="762"/>
    <n v="2337.36"/>
    <n v="2.38"/>
    <n v="3.07"/>
    <n v="72.989999999999995"/>
    <n v="0"/>
  </r>
  <r>
    <x v="0"/>
    <s v="April"/>
    <x v="0"/>
    <n v="15350"/>
    <n v="22251"/>
    <n v="969"/>
    <n v="1243.83"/>
    <n v="4.3499999999999996"/>
    <n v="1.28"/>
    <n v="55.9"/>
    <n v="82"/>
  </r>
  <r>
    <x v="0"/>
    <s v="April"/>
    <x v="0"/>
    <n v="14912"/>
    <n v="22391"/>
    <n v="622"/>
    <n v="2067.81"/>
    <n v="2.78"/>
    <n v="3.32"/>
    <n v="92.35"/>
    <n v="67"/>
  </r>
  <r>
    <x v="0"/>
    <s v="April"/>
    <x v="0"/>
    <n v="12563"/>
    <n v="31490"/>
    <n v="841"/>
    <n v="2059.13"/>
    <n v="2.67"/>
    <n v="2.4500000000000002"/>
    <n v="65.39"/>
    <n v="64"/>
  </r>
  <r>
    <x v="0"/>
    <s v="April"/>
    <x v="0"/>
    <n v="12092"/>
    <n v="18189"/>
    <n v="802"/>
    <n v="958.74"/>
    <n v="4.41"/>
    <n v="1.2"/>
    <n v="52.71"/>
    <n v="68"/>
  </r>
  <r>
    <x v="0"/>
    <s v="April"/>
    <x v="0"/>
    <n v="15260"/>
    <n v="33076"/>
    <n v="636"/>
    <n v="2393.38"/>
    <n v="1.92"/>
    <n v="3.76"/>
    <n v="72.36"/>
    <n v="0"/>
  </r>
  <r>
    <x v="0"/>
    <s v="April"/>
    <x v="0"/>
    <n v="17016"/>
    <n v="23724"/>
    <n v="785"/>
    <n v="1988.07"/>
    <n v="3.31"/>
    <n v="2.5299999999999998"/>
    <n v="83.8"/>
    <n v="68"/>
  </r>
  <r>
    <x v="0"/>
    <s v="April"/>
    <x v="0"/>
    <n v="8828"/>
    <n v="33369"/>
    <n v="1092"/>
    <n v="1737.52"/>
    <n v="3.27"/>
    <n v="1.59"/>
    <n v="52.07"/>
    <n v="83"/>
  </r>
  <r>
    <x v="0"/>
    <s v="April"/>
    <x v="0"/>
    <n v="16856"/>
    <n v="22153"/>
    <n v="732"/>
    <n v="1300.3800000000001"/>
    <n v="3.3"/>
    <n v="1.78"/>
    <n v="58.7"/>
    <n v="58"/>
  </r>
  <r>
    <x v="0"/>
    <s v="April"/>
    <x v="1"/>
    <n v="9528"/>
    <n v="20131"/>
    <n v="932"/>
    <n v="2007.26"/>
    <n v="4.63"/>
    <n v="2.15"/>
    <n v="99.71"/>
    <n v="45"/>
  </r>
  <r>
    <x v="0"/>
    <s v="April"/>
    <x v="0"/>
    <n v="10724"/>
    <n v="27258"/>
    <n v="1168"/>
    <n v="2153.11"/>
    <n v="4.28"/>
    <n v="1.84"/>
    <n v="78.989999999999995"/>
    <n v="112"/>
  </r>
  <r>
    <x v="0"/>
    <s v="April"/>
    <x v="0"/>
    <n v="15956"/>
    <n v="28628"/>
    <n v="1100"/>
    <n v="1897.75"/>
    <n v="3.84"/>
    <n v="1.73"/>
    <n v="66.290000000000006"/>
    <n v="51"/>
  </r>
  <r>
    <x v="0"/>
    <s v="April"/>
    <x v="0"/>
    <n v="11502"/>
    <n v="28093"/>
    <n v="788"/>
    <n v="1996.01"/>
    <n v="2.8"/>
    <n v="2.5299999999999998"/>
    <n v="71.05"/>
    <n v="44"/>
  </r>
  <r>
    <x v="0"/>
    <s v="April"/>
    <x v="0"/>
    <n v="8960"/>
    <n v="17394"/>
    <n v="1250"/>
    <n v="822.04"/>
    <n v="7.19"/>
    <n v="0.66"/>
    <n v="47.26"/>
    <n v="72"/>
  </r>
  <r>
    <x v="0"/>
    <s v="April"/>
    <x v="0"/>
    <n v="14209"/>
    <n v="18541"/>
    <n v="1094"/>
    <n v="991.57"/>
    <n v="5.9"/>
    <n v="0.91"/>
    <n v="53.48"/>
    <n v="92"/>
  </r>
  <r>
    <x v="0"/>
    <s v="April"/>
    <x v="0"/>
    <n v="14396"/>
    <n v="23059"/>
    <n v="1014"/>
    <n v="1390.23"/>
    <n v="4.4000000000000004"/>
    <n v="1.37"/>
    <n v="60.29"/>
    <n v="85"/>
  </r>
  <r>
    <x v="0"/>
    <s v="April"/>
    <x v="0"/>
    <n v="20846"/>
    <n v="34553"/>
    <n v="517"/>
    <n v="2601.84"/>
    <n v="1.5"/>
    <n v="5.03"/>
    <n v="75.3"/>
    <n v="58"/>
  </r>
  <r>
    <x v="0"/>
    <s v="April"/>
    <x v="0"/>
    <n v="12673"/>
    <n v="30335"/>
    <n v="517"/>
    <n v="1632.33"/>
    <n v="1.7"/>
    <n v="3.16"/>
    <n v="53.81"/>
    <n v="58"/>
  </r>
  <r>
    <x v="0"/>
    <s v="April"/>
    <x v="2"/>
    <n v="19412"/>
    <n v="34340"/>
    <n v="808"/>
    <n v="1827.23"/>
    <n v="2.35"/>
    <n v="2.2599999999999998"/>
    <n v="53.21"/>
    <n v="0"/>
  </r>
  <r>
    <x v="0"/>
    <s v="April"/>
    <x v="2"/>
    <n v="18844"/>
    <n v="32470"/>
    <n v="974"/>
    <n v="1437.12"/>
    <n v="3"/>
    <n v="1.48"/>
    <n v="44.26"/>
    <n v="47"/>
  </r>
  <r>
    <x v="0"/>
    <s v="April"/>
    <x v="2"/>
    <n v="10536"/>
    <n v="19918"/>
    <n v="594"/>
    <n v="1551.01"/>
    <n v="2.98"/>
    <n v="2.61"/>
    <n v="77.87"/>
    <n v="0"/>
  </r>
  <r>
    <x v="0"/>
    <s v="April"/>
    <x v="2"/>
    <n v="12861"/>
    <n v="23852"/>
    <n v="875"/>
    <n v="1281.81"/>
    <n v="3.67"/>
    <n v="1.46"/>
    <n v="53.74"/>
    <n v="73"/>
  </r>
  <r>
    <x v="0"/>
    <s v="April"/>
    <x v="2"/>
    <n v="8958"/>
    <n v="30978"/>
    <n v="645"/>
    <n v="2922.15"/>
    <n v="2.08"/>
    <n v="4.53"/>
    <n v="94.33"/>
    <n v="44"/>
  </r>
  <r>
    <x v="0"/>
    <s v="April"/>
    <x v="2"/>
    <n v="20054"/>
    <n v="34953"/>
    <n v="803"/>
    <n v="3201"/>
    <n v="2.2999999999999998"/>
    <n v="3.99"/>
    <n v="91.58"/>
    <n v="73"/>
  </r>
  <r>
    <x v="1"/>
    <s v="January"/>
    <x v="1"/>
    <n v="10998"/>
    <n v="25276"/>
    <n v="728"/>
    <n v="1677.82"/>
    <n v="2.88"/>
    <n v="2.2999999999999998"/>
    <n v="66.38"/>
    <n v="31"/>
  </r>
  <r>
    <x v="1"/>
    <s v="January"/>
    <x v="1"/>
    <n v="10936"/>
    <n v="16643"/>
    <n v="306"/>
    <n v="1355.07"/>
    <n v="1.84"/>
    <n v="4.43"/>
    <n v="81.42"/>
    <n v="12"/>
  </r>
  <r>
    <x v="1"/>
    <s v="January"/>
    <x v="1"/>
    <n v="19571"/>
    <n v="33253"/>
    <n v="329"/>
    <n v="3997.34"/>
    <n v="0.99"/>
    <n v="12.15"/>
    <n v="120.21"/>
    <n v="19"/>
  </r>
  <r>
    <x v="1"/>
    <s v="January"/>
    <x v="2"/>
    <n v="18238"/>
    <n v="37679"/>
    <n v="332"/>
    <n v="2987.19"/>
    <n v="0.88"/>
    <n v="9"/>
    <n v="79.28"/>
    <n v="0"/>
  </r>
  <r>
    <x v="1"/>
    <s v="January"/>
    <x v="0"/>
    <n v="10931"/>
    <n v="31640"/>
    <n v="532"/>
    <n v="4562.49"/>
    <n v="1.68"/>
    <n v="8.58"/>
    <n v="144.19999999999999"/>
    <n v="51"/>
  </r>
  <r>
    <x v="1"/>
    <s v="January"/>
    <x v="0"/>
    <n v="11312"/>
    <n v="21089"/>
    <n v="488"/>
    <n v="2349.1"/>
    <n v="2.31"/>
    <n v="4.8099999999999996"/>
    <n v="111.39"/>
    <n v="48"/>
  </r>
  <r>
    <x v="1"/>
    <s v="January"/>
    <x v="2"/>
    <n v="11113"/>
    <n v="37125"/>
    <n v="326"/>
    <n v="4849.2700000000004"/>
    <n v="0.88"/>
    <n v="14.88"/>
    <n v="130.62"/>
    <n v="36"/>
  </r>
  <r>
    <x v="1"/>
    <s v="January"/>
    <x v="2"/>
    <n v="24120"/>
    <n v="35209"/>
    <n v="709"/>
    <n v="4671.18"/>
    <n v="2.0099999999999998"/>
    <n v="6.59"/>
    <n v="132.66999999999999"/>
    <n v="29"/>
  </r>
  <r>
    <x v="1"/>
    <s v="January"/>
    <x v="2"/>
    <n v="16615"/>
    <n v="25527"/>
    <n v="648"/>
    <n v="1969.15"/>
    <n v="2.54"/>
    <n v="3.04"/>
    <n v="77.14"/>
    <n v="34"/>
  </r>
  <r>
    <x v="1"/>
    <s v="January"/>
    <x v="2"/>
    <n v="24586"/>
    <n v="41294"/>
    <n v="333"/>
    <n v="2837.72"/>
    <n v="0.81"/>
    <n v="8.52"/>
    <n v="68.72"/>
    <n v="0"/>
  </r>
  <r>
    <x v="1"/>
    <s v="January"/>
    <x v="0"/>
    <n v="14033"/>
    <n v="37212"/>
    <n v="715"/>
    <n v="3676.17"/>
    <n v="1.92"/>
    <n v="5.14"/>
    <n v="98.79"/>
    <n v="43"/>
  </r>
  <r>
    <x v="1"/>
    <s v="January"/>
    <x v="0"/>
    <n v="19740"/>
    <n v="26313"/>
    <n v="710"/>
    <n v="2581.83"/>
    <n v="2.7"/>
    <n v="3.64"/>
    <n v="98.12"/>
    <n v="0"/>
  </r>
  <r>
    <x v="1"/>
    <s v="January"/>
    <x v="1"/>
    <n v="20147"/>
    <n v="27534"/>
    <n v="568"/>
    <n v="2809.29"/>
    <n v="2.06"/>
    <n v="4.95"/>
    <n v="102.03"/>
    <n v="54"/>
  </r>
  <r>
    <x v="1"/>
    <s v="January"/>
    <x v="2"/>
    <n v="16868"/>
    <n v="32698"/>
    <n v="354"/>
    <n v="4107.5200000000004"/>
    <n v="1.08"/>
    <n v="11.6"/>
    <n v="125.62"/>
    <n v="0"/>
  </r>
  <r>
    <x v="1"/>
    <s v="January"/>
    <x v="2"/>
    <n v="19562"/>
    <n v="34690"/>
    <n v="340"/>
    <n v="4183.6099999999997"/>
    <n v="0.98"/>
    <n v="12.3"/>
    <n v="120.6"/>
    <n v="20"/>
  </r>
  <r>
    <x v="1"/>
    <s v="January"/>
    <x v="2"/>
    <n v="18565"/>
    <n v="29317"/>
    <n v="576"/>
    <n v="4355.63"/>
    <n v="1.96"/>
    <n v="7.56"/>
    <n v="148.57"/>
    <n v="57"/>
  </r>
  <r>
    <x v="1"/>
    <s v="January"/>
    <x v="1"/>
    <n v="14272"/>
    <n v="25246"/>
    <n v="525"/>
    <n v="1738.44"/>
    <n v="2.08"/>
    <n v="3.31"/>
    <n v="68.86"/>
    <n v="23"/>
  </r>
  <r>
    <x v="1"/>
    <s v="January"/>
    <x v="1"/>
    <n v="20972"/>
    <n v="32410"/>
    <n v="165"/>
    <n v="3119.14"/>
    <n v="0.51"/>
    <n v="18.899999999999999"/>
    <n v="96.24"/>
    <n v="8"/>
  </r>
  <r>
    <x v="1"/>
    <s v="January"/>
    <x v="2"/>
    <n v="13910"/>
    <n v="26786"/>
    <n v="216"/>
    <n v="2425.1999999999998"/>
    <n v="0.81"/>
    <n v="11.23"/>
    <n v="90.54"/>
    <n v="0"/>
  </r>
  <r>
    <x v="1"/>
    <s v="January"/>
    <x v="2"/>
    <n v="16484"/>
    <n v="25717"/>
    <n v="519"/>
    <n v="3537.37"/>
    <n v="2.02"/>
    <n v="6.82"/>
    <n v="137.55000000000001"/>
    <n v="25"/>
  </r>
  <r>
    <x v="1"/>
    <s v="February"/>
    <x v="1"/>
    <n v="21004"/>
    <n v="37880"/>
    <n v="238"/>
    <n v="3120.55"/>
    <n v="0.63"/>
    <n v="13.11"/>
    <n v="82.38"/>
    <n v="0"/>
  </r>
  <r>
    <x v="1"/>
    <s v="February"/>
    <x v="1"/>
    <n v="14915"/>
    <n v="34371"/>
    <n v="330"/>
    <n v="2650.69"/>
    <n v="0.96"/>
    <n v="8.0299999999999994"/>
    <n v="77.12"/>
    <n v="33"/>
  </r>
  <r>
    <x v="1"/>
    <s v="February"/>
    <x v="2"/>
    <n v="15180"/>
    <n v="22111"/>
    <n v="559"/>
    <n v="2219.5"/>
    <n v="2.5299999999999998"/>
    <n v="3.97"/>
    <n v="100.38"/>
    <n v="0"/>
  </r>
  <r>
    <x v="1"/>
    <s v="February"/>
    <x v="2"/>
    <n v="10152"/>
    <n v="30017"/>
    <n v="226"/>
    <n v="2940.77"/>
    <n v="0.75"/>
    <n v="13.01"/>
    <n v="97.97"/>
    <n v="22"/>
  </r>
  <r>
    <x v="1"/>
    <s v="February"/>
    <x v="2"/>
    <n v="20177"/>
    <n v="35454"/>
    <n v="483"/>
    <n v="3016.07"/>
    <n v="1.36"/>
    <n v="6.24"/>
    <n v="85.07"/>
    <n v="42"/>
  </r>
  <r>
    <x v="1"/>
    <s v="February"/>
    <x v="2"/>
    <n v="11638"/>
    <n v="17529"/>
    <n v="296"/>
    <n v="1445.79"/>
    <n v="1.69"/>
    <n v="4.88"/>
    <n v="82.48"/>
    <n v="16"/>
  </r>
  <r>
    <x v="1"/>
    <s v="February"/>
    <x v="2"/>
    <n v="18808"/>
    <n v="27942"/>
    <n v="303"/>
    <n v="3998.22"/>
    <n v="1.08"/>
    <n v="13.2"/>
    <n v="143.09"/>
    <n v="19"/>
  </r>
  <r>
    <x v="1"/>
    <s v="February"/>
    <x v="2"/>
    <n v="18288"/>
    <n v="28119"/>
    <n v="225"/>
    <n v="2808.53"/>
    <n v="0.8"/>
    <n v="12.48"/>
    <n v="99.88"/>
    <n v="11"/>
  </r>
  <r>
    <x v="1"/>
    <s v="February"/>
    <x v="0"/>
    <n v="12170"/>
    <n v="27257"/>
    <n v="636"/>
    <n v="3748.38"/>
    <n v="2.33"/>
    <n v="5.89"/>
    <n v="137.52000000000001"/>
    <n v="72"/>
  </r>
  <r>
    <x v="1"/>
    <s v="February"/>
    <x v="1"/>
    <n v="24432"/>
    <n v="32888"/>
    <n v="680"/>
    <n v="3602.22"/>
    <n v="2.0699999999999998"/>
    <n v="5.3"/>
    <n v="109.53"/>
    <n v="21"/>
  </r>
  <r>
    <x v="1"/>
    <s v="February"/>
    <x v="1"/>
    <n v="24405"/>
    <n v="35728"/>
    <n v="338"/>
    <n v="2306.2399999999998"/>
    <n v="0.95"/>
    <n v="6.82"/>
    <n v="64.55"/>
    <n v="21"/>
  </r>
  <r>
    <x v="1"/>
    <s v="February"/>
    <x v="2"/>
    <n v="16054"/>
    <n v="30208"/>
    <n v="304"/>
    <n v="4529.3900000000003"/>
    <n v="1.01"/>
    <n v="14.9"/>
    <n v="149.94"/>
    <n v="22"/>
  </r>
  <r>
    <x v="1"/>
    <s v="February"/>
    <x v="0"/>
    <n v="12584"/>
    <n v="30717"/>
    <n v="331"/>
    <n v="4154.17"/>
    <n v="1.08"/>
    <n v="12.55"/>
    <n v="135.24"/>
    <n v="31"/>
  </r>
  <r>
    <x v="1"/>
    <s v="February"/>
    <x v="2"/>
    <n v="23660"/>
    <n v="39658"/>
    <n v="342"/>
    <n v="5838.05"/>
    <n v="0.86"/>
    <n v="17.07"/>
    <n v="147.21"/>
    <n v="28"/>
  </r>
  <r>
    <x v="1"/>
    <s v="February"/>
    <x v="2"/>
    <n v="21526"/>
    <n v="32939"/>
    <n v="511"/>
    <n v="4722.46"/>
    <n v="1.55"/>
    <n v="9.24"/>
    <n v="143.37"/>
    <n v="44"/>
  </r>
  <r>
    <x v="1"/>
    <s v="February"/>
    <x v="0"/>
    <n v="20021"/>
    <n v="36741"/>
    <n v="542"/>
    <n v="5010.74"/>
    <n v="1.48"/>
    <n v="9.24"/>
    <n v="136.38"/>
    <n v="54"/>
  </r>
  <r>
    <x v="1"/>
    <s v="February"/>
    <x v="0"/>
    <n v="18666"/>
    <n v="24393"/>
    <n v="455"/>
    <n v="1828.74"/>
    <n v="1.87"/>
    <n v="4.0199999999999996"/>
    <n v="74.97"/>
    <n v="35"/>
  </r>
  <r>
    <x v="1"/>
    <s v="February"/>
    <x v="0"/>
    <n v="20942"/>
    <n v="36310"/>
    <n v="344"/>
    <n v="3765.71"/>
    <n v="0.95"/>
    <n v="10.95"/>
    <n v="103.71"/>
    <n v="0"/>
  </r>
  <r>
    <x v="1"/>
    <s v="February"/>
    <x v="1"/>
    <n v="14905"/>
    <n v="22770"/>
    <n v="275"/>
    <n v="1804.29"/>
    <n v="1.21"/>
    <n v="6.56"/>
    <n v="79.239999999999995"/>
    <n v="16"/>
  </r>
  <r>
    <x v="1"/>
    <s v="February"/>
    <x v="1"/>
    <n v="24387"/>
    <n v="33903"/>
    <n v="461"/>
    <n v="3257.74"/>
    <n v="1.36"/>
    <n v="7.07"/>
    <n v="96.09"/>
    <n v="12"/>
  </r>
  <r>
    <x v="1"/>
    <s v="February"/>
    <x v="2"/>
    <n v="14333"/>
    <n v="22414"/>
    <n v="487"/>
    <n v="1463.19"/>
    <n v="2.17"/>
    <n v="3"/>
    <n v="65.28"/>
    <n v="0"/>
  </r>
  <r>
    <x v="1"/>
    <s v="March"/>
    <x v="2"/>
    <n v="24577"/>
    <n v="33703"/>
    <n v="341"/>
    <n v="3171.79"/>
    <n v="1.01"/>
    <n v="9.3000000000000007"/>
    <n v="94.11"/>
    <n v="34"/>
  </r>
  <r>
    <x v="1"/>
    <s v="March"/>
    <x v="0"/>
    <n v="22163"/>
    <n v="37875"/>
    <n v="642"/>
    <n v="5631.26"/>
    <n v="1.7"/>
    <n v="8.77"/>
    <n v="148.68"/>
    <n v="50"/>
  </r>
  <r>
    <x v="1"/>
    <s v="March"/>
    <x v="0"/>
    <n v="12546"/>
    <n v="25233"/>
    <n v="811"/>
    <n v="2116.29"/>
    <n v="3.21"/>
    <n v="2.61"/>
    <n v="83.87"/>
    <n v="68"/>
  </r>
  <r>
    <x v="1"/>
    <s v="March"/>
    <x v="0"/>
    <n v="14616"/>
    <n v="25901"/>
    <n v="380"/>
    <n v="3381.89"/>
    <n v="1.47"/>
    <n v="8.9"/>
    <n v="130.57"/>
    <n v="42"/>
  </r>
  <r>
    <x v="1"/>
    <s v="March"/>
    <x v="1"/>
    <n v="21757"/>
    <n v="33901"/>
    <n v="471"/>
    <n v="3422.31"/>
    <n v="1.39"/>
    <n v="7.27"/>
    <n v="100.95"/>
    <n v="53"/>
  </r>
  <r>
    <x v="1"/>
    <s v="March"/>
    <x v="2"/>
    <n v="13335"/>
    <n v="25985"/>
    <n v="312"/>
    <n v="2548.35"/>
    <n v="1.2"/>
    <n v="8.17"/>
    <n v="98.07"/>
    <n v="33"/>
  </r>
  <r>
    <x v="1"/>
    <s v="March"/>
    <x v="2"/>
    <n v="18280"/>
    <n v="31768"/>
    <n v="651"/>
    <n v="4643.21"/>
    <n v="2.0499999999999998"/>
    <n v="7.13"/>
    <n v="146.16"/>
    <n v="16"/>
  </r>
  <r>
    <x v="1"/>
    <s v="March"/>
    <x v="0"/>
    <n v="14114"/>
    <n v="20012"/>
    <n v="349"/>
    <n v="2993.6"/>
    <n v="1.74"/>
    <n v="8.58"/>
    <n v="149.59"/>
    <n v="9"/>
  </r>
  <r>
    <x v="1"/>
    <s v="March"/>
    <x v="0"/>
    <n v="11512"/>
    <n v="35784"/>
    <n v="497"/>
    <n v="3936.96"/>
    <n v="1.39"/>
    <n v="7.92"/>
    <n v="110.02"/>
    <n v="30"/>
  </r>
  <r>
    <x v="1"/>
    <s v="March"/>
    <x v="0"/>
    <n v="16939"/>
    <n v="35608"/>
    <n v="580"/>
    <n v="4438.8900000000003"/>
    <n v="1.63"/>
    <n v="7.65"/>
    <n v="124.66"/>
    <n v="65"/>
  </r>
  <r>
    <x v="1"/>
    <s v="March"/>
    <x v="0"/>
    <n v="14533"/>
    <n v="20336"/>
    <n v="692"/>
    <n v="1503.44"/>
    <n v="3.4"/>
    <n v="2.17"/>
    <n v="73.930000000000007"/>
    <n v="46"/>
  </r>
  <r>
    <x v="1"/>
    <s v="March"/>
    <x v="2"/>
    <n v="10058"/>
    <n v="25929"/>
    <n v="527"/>
    <n v="2248.04"/>
    <n v="2.0299999999999998"/>
    <n v="4.2699999999999996"/>
    <n v="86.7"/>
    <n v="55"/>
  </r>
  <r>
    <x v="1"/>
    <s v="March"/>
    <x v="2"/>
    <n v="22634"/>
    <n v="31567"/>
    <n v="511"/>
    <n v="4646.03"/>
    <n v="1.62"/>
    <n v="9.09"/>
    <n v="147.18"/>
    <n v="22"/>
  </r>
  <r>
    <x v="1"/>
    <s v="March"/>
    <x v="2"/>
    <n v="20438"/>
    <n v="30860"/>
    <n v="491"/>
    <n v="3460.33"/>
    <n v="1.59"/>
    <n v="7.05"/>
    <n v="112.13"/>
    <n v="11"/>
  </r>
  <r>
    <x v="1"/>
    <s v="March"/>
    <x v="0"/>
    <n v="12647"/>
    <n v="30919"/>
    <n v="452"/>
    <n v="3363.99"/>
    <n v="1.46"/>
    <n v="7.44"/>
    <n v="108.8"/>
    <n v="34"/>
  </r>
  <r>
    <x v="1"/>
    <s v="March"/>
    <x v="1"/>
    <n v="19038"/>
    <n v="36310"/>
    <n v="602"/>
    <n v="4622.99"/>
    <n v="1.66"/>
    <n v="7.68"/>
    <n v="127.32"/>
    <n v="66"/>
  </r>
  <r>
    <x v="1"/>
    <s v="March"/>
    <x v="1"/>
    <n v="17007"/>
    <n v="31298"/>
    <n v="426"/>
    <n v="2038.75"/>
    <n v="1.36"/>
    <n v="4.79"/>
    <n v="65.14"/>
    <n v="27"/>
  </r>
  <r>
    <x v="1"/>
    <s v="March"/>
    <x v="2"/>
    <n v="10158"/>
    <n v="18665"/>
    <n v="617"/>
    <n v="2101.31"/>
    <n v="3.31"/>
    <n v="3.41"/>
    <n v="112.58"/>
    <n v="66"/>
  </r>
  <r>
    <x v="1"/>
    <s v="March"/>
    <x v="2"/>
    <n v="11232"/>
    <n v="37643"/>
    <n v="264"/>
    <n v="3962.3"/>
    <n v="0.7"/>
    <n v="15.01"/>
    <n v="105.26"/>
    <n v="31"/>
  </r>
  <r>
    <x v="1"/>
    <s v="March"/>
    <x v="2"/>
    <n v="24809"/>
    <n v="34693"/>
    <n v="497"/>
    <n v="4743.92"/>
    <n v="1.43"/>
    <n v="9.5500000000000007"/>
    <n v="136.74"/>
    <n v="18"/>
  </r>
  <r>
    <x v="1"/>
    <s v="April"/>
    <x v="0"/>
    <n v="18938"/>
    <n v="25209"/>
    <n v="577"/>
    <n v="1869.75"/>
    <n v="2.29"/>
    <n v="3.24"/>
    <n v="74.17"/>
    <n v="66"/>
  </r>
  <r>
    <x v="1"/>
    <s v="April"/>
    <x v="1"/>
    <n v="23674"/>
    <n v="36825"/>
    <n v="364"/>
    <n v="5393.76"/>
    <n v="0.99"/>
    <n v="14.82"/>
    <n v="146.47"/>
    <n v="23"/>
  </r>
  <r>
    <x v="1"/>
    <s v="April"/>
    <x v="1"/>
    <n v="19543"/>
    <n v="34457"/>
    <n v="642"/>
    <n v="2315.85"/>
    <n v="1.86"/>
    <n v="3.61"/>
    <n v="67.209999999999994"/>
    <n v="59"/>
  </r>
  <r>
    <x v="1"/>
    <s v="April"/>
    <x v="2"/>
    <n v="12426"/>
    <n v="30236"/>
    <n v="295"/>
    <n v="2319.71"/>
    <n v="0.98"/>
    <n v="7.86"/>
    <n v="76.72"/>
    <n v="20"/>
  </r>
  <r>
    <x v="1"/>
    <s v="April"/>
    <x v="2"/>
    <n v="12088"/>
    <n v="17084"/>
    <n v="442"/>
    <n v="1939.89"/>
    <n v="2.59"/>
    <n v="4.3899999999999997"/>
    <n v="113.55"/>
    <n v="36"/>
  </r>
  <r>
    <x v="1"/>
    <s v="April"/>
    <x v="2"/>
    <n v="15050"/>
    <n v="31513"/>
    <n v="449"/>
    <n v="3805.83"/>
    <n v="1.42"/>
    <n v="8.48"/>
    <n v="120.77"/>
    <n v="52"/>
  </r>
  <r>
    <x v="1"/>
    <s v="April"/>
    <x v="0"/>
    <n v="24728"/>
    <n v="32799"/>
    <n v="349"/>
    <n v="2662.29"/>
    <n v="1.06"/>
    <n v="7.63"/>
    <n v="81.17"/>
    <n v="39"/>
  </r>
  <r>
    <x v="1"/>
    <s v="April"/>
    <x v="1"/>
    <n v="24727"/>
    <n v="38007"/>
    <n v="261"/>
    <n v="2690.52"/>
    <n v="0.69"/>
    <n v="10.31"/>
    <n v="70.790000000000006"/>
    <n v="20"/>
  </r>
  <r>
    <x v="1"/>
    <s v="April"/>
    <x v="2"/>
    <n v="13441"/>
    <n v="25649"/>
    <n v="601"/>
    <n v="3594.19"/>
    <n v="2.34"/>
    <n v="5.98"/>
    <n v="140.13"/>
    <n v="24"/>
  </r>
  <r>
    <x v="1"/>
    <s v="April"/>
    <x v="2"/>
    <n v="20927"/>
    <n v="28889"/>
    <n v="471"/>
    <n v="2373.52"/>
    <n v="1.63"/>
    <n v="5.04"/>
    <n v="82.16"/>
    <n v="26"/>
  </r>
  <r>
    <x v="1"/>
    <s v="April"/>
    <x v="2"/>
    <n v="15794"/>
    <n v="33848"/>
    <n v="232"/>
    <n v="3842.09"/>
    <n v="0.69"/>
    <n v="16.559999999999999"/>
    <n v="113.51"/>
    <n v="0"/>
  </r>
  <r>
    <x v="1"/>
    <s v="April"/>
    <x v="0"/>
    <n v="20168"/>
    <n v="28750"/>
    <n v="715"/>
    <n v="3327.52"/>
    <n v="2.4900000000000002"/>
    <n v="4.6500000000000004"/>
    <n v="115.74"/>
    <n v="26"/>
  </r>
  <r>
    <x v="1"/>
    <s v="April"/>
    <x v="1"/>
    <n v="13878"/>
    <n v="23365"/>
    <n v="278"/>
    <n v="2283.46"/>
    <n v="1.19"/>
    <n v="8.2100000000000009"/>
    <n v="97.73"/>
    <n v="28"/>
  </r>
  <r>
    <x v="1"/>
    <s v="April"/>
    <x v="2"/>
    <n v="23105"/>
    <n v="32936"/>
    <n v="329"/>
    <n v="3706.29"/>
    <n v="1"/>
    <n v="11.27"/>
    <n v="112.53"/>
    <n v="33"/>
  </r>
  <r>
    <x v="1"/>
    <s v="April"/>
    <x v="2"/>
    <n v="24441"/>
    <n v="38528"/>
    <n v="469"/>
    <n v="4124.42"/>
    <n v="1.22"/>
    <n v="8.7899999999999991"/>
    <n v="107.05"/>
    <n v="38"/>
  </r>
  <r>
    <x v="1"/>
    <s v="April"/>
    <x v="2"/>
    <n v="10406"/>
    <n v="20877"/>
    <n v="285"/>
    <n v="3008.79"/>
    <n v="1.37"/>
    <n v="10.56"/>
    <n v="144.12"/>
    <n v="9"/>
  </r>
  <r>
    <x v="1"/>
    <s v="April"/>
    <x v="0"/>
    <n v="22067"/>
    <n v="34129"/>
    <n v="322"/>
    <n v="2675.03"/>
    <n v="0.94"/>
    <n v="8.31"/>
    <n v="78.38"/>
    <n v="21"/>
  </r>
  <r>
    <x v="1"/>
    <s v="April"/>
    <x v="1"/>
    <n v="22818"/>
    <n v="36408"/>
    <n v="264"/>
    <n v="4531.34"/>
    <n v="0.73"/>
    <n v="17.16"/>
    <n v="124.46"/>
    <n v="7"/>
  </r>
  <r>
    <x v="1"/>
    <s v="April"/>
    <x v="1"/>
    <n v="23143"/>
    <n v="41060"/>
    <n v="354"/>
    <n v="3345.57"/>
    <n v="0.86"/>
    <n v="9.4499999999999993"/>
    <n v="81.48"/>
    <n v="29"/>
  </r>
  <r>
    <x v="1"/>
    <s v="April"/>
    <x v="2"/>
    <n v="24156"/>
    <n v="43445"/>
    <n v="610"/>
    <n v="4154.21"/>
    <n v="1.4"/>
    <n v="6.81"/>
    <n v="95.62"/>
    <n v="44"/>
  </r>
  <r>
    <x v="1"/>
    <s v="April"/>
    <x v="2"/>
    <n v="23283"/>
    <n v="34332"/>
    <n v="357"/>
    <n v="4135.29"/>
    <n v="1.04"/>
    <n v="11.58"/>
    <n v="120.45"/>
    <n v="26"/>
  </r>
  <r>
    <x v="1"/>
    <s v="April"/>
    <x v="2"/>
    <n v="14371"/>
    <n v="23898"/>
    <n v="177"/>
    <n v="2079.13"/>
    <n v="0.74"/>
    <n v="11.75"/>
    <n v="87"/>
    <n v="13"/>
  </r>
  <r>
    <x v="2"/>
    <s v="January"/>
    <x v="0"/>
    <n v="19489"/>
    <n v="27106"/>
    <n v="279"/>
    <n v="3996.24"/>
    <n v="1.03"/>
    <n v="14.32"/>
    <n v="147.43"/>
    <n v="0"/>
  </r>
  <r>
    <x v="2"/>
    <s v="January"/>
    <x v="2"/>
    <n v="14267"/>
    <n v="19181"/>
    <n v="271"/>
    <n v="4081.33"/>
    <n v="1.41"/>
    <n v="15.06"/>
    <n v="212.78"/>
    <n v="12"/>
  </r>
  <r>
    <x v="2"/>
    <s v="January"/>
    <x v="2"/>
    <n v="15711"/>
    <n v="24068"/>
    <n v="221"/>
    <n v="2668.66"/>
    <n v="0.92"/>
    <n v="12.08"/>
    <n v="110.88"/>
    <n v="22"/>
  </r>
  <r>
    <x v="2"/>
    <s v="January"/>
    <x v="2"/>
    <n v="11269"/>
    <n v="29732"/>
    <n v="210"/>
    <n v="5016.9799999999996"/>
    <n v="0.71"/>
    <n v="23.89"/>
    <n v="168.74"/>
    <n v="24"/>
  </r>
  <r>
    <x v="2"/>
    <s v="January"/>
    <x v="0"/>
    <n v="13728"/>
    <n v="22846"/>
    <n v="407"/>
    <n v="5706.25"/>
    <n v="1.78"/>
    <n v="14.02"/>
    <n v="249.77"/>
    <n v="28"/>
  </r>
  <r>
    <x v="2"/>
    <s v="January"/>
    <x v="2"/>
    <n v="11728"/>
    <n v="22550"/>
    <n v="321"/>
    <n v="5624.2"/>
    <n v="1.42"/>
    <n v="17.52"/>
    <n v="249.41"/>
    <n v="12"/>
  </r>
  <r>
    <x v="2"/>
    <s v="January"/>
    <x v="2"/>
    <n v="8387"/>
    <n v="18328"/>
    <n v="284"/>
    <n v="2034.22"/>
    <n v="1.55"/>
    <n v="7.16"/>
    <n v="110.99"/>
    <n v="17"/>
  </r>
  <r>
    <x v="2"/>
    <s v="January"/>
    <x v="2"/>
    <n v="14528"/>
    <n v="24264"/>
    <n v="404"/>
    <n v="3202.12"/>
    <n v="1.67"/>
    <n v="7.93"/>
    <n v="131.97"/>
    <n v="27"/>
  </r>
  <r>
    <x v="2"/>
    <s v="January"/>
    <x v="1"/>
    <n v="9137"/>
    <n v="21146"/>
    <n v="418"/>
    <n v="5074.83"/>
    <n v="1.98"/>
    <n v="12.14"/>
    <n v="239.99"/>
    <n v="44"/>
  </r>
  <r>
    <x v="2"/>
    <s v="January"/>
    <x v="2"/>
    <n v="13753"/>
    <n v="28388"/>
    <n v="328"/>
    <n v="6589.71"/>
    <n v="1.1599999999999999"/>
    <n v="20.09"/>
    <n v="232.13"/>
    <n v="6"/>
  </r>
  <r>
    <x v="2"/>
    <s v="January"/>
    <x v="2"/>
    <n v="16346"/>
    <n v="27797"/>
    <n v="569"/>
    <n v="6445.85"/>
    <n v="2.0499999999999998"/>
    <n v="11.33"/>
    <n v="231.89"/>
    <n v="59"/>
  </r>
  <r>
    <x v="2"/>
    <s v="January"/>
    <x v="0"/>
    <n v="19133"/>
    <n v="33657"/>
    <n v="262"/>
    <n v="5231.3100000000004"/>
    <n v="0.78"/>
    <n v="19.97"/>
    <n v="155.43"/>
    <n v="26"/>
  </r>
  <r>
    <x v="2"/>
    <s v="January"/>
    <x v="0"/>
    <n v="13425"/>
    <n v="17904"/>
    <n v="265"/>
    <n v="2214.0100000000002"/>
    <n v="1.48"/>
    <n v="8.35"/>
    <n v="123.66"/>
    <n v="20"/>
  </r>
  <r>
    <x v="2"/>
    <s v="January"/>
    <x v="2"/>
    <n v="9889"/>
    <n v="21414"/>
    <n v="323"/>
    <n v="4819.43"/>
    <n v="1.51"/>
    <n v="14.92"/>
    <n v="225.06"/>
    <n v="18"/>
  </r>
  <r>
    <x v="2"/>
    <s v="February"/>
    <x v="0"/>
    <n v="10925"/>
    <n v="22900"/>
    <n v="350"/>
    <n v="4706.6400000000003"/>
    <n v="1.53"/>
    <n v="13.45"/>
    <n v="205.53"/>
    <n v="40"/>
  </r>
  <r>
    <x v="2"/>
    <s v="February"/>
    <x v="0"/>
    <n v="8626"/>
    <n v="15552"/>
    <n v="379"/>
    <n v="2982.1"/>
    <n v="2.44"/>
    <n v="7.87"/>
    <n v="191.75"/>
    <n v="0"/>
  </r>
  <r>
    <x v="2"/>
    <s v="February"/>
    <x v="1"/>
    <n v="17774"/>
    <n v="30225"/>
    <n v="293"/>
    <n v="7498.22"/>
    <n v="0.97"/>
    <n v="25.59"/>
    <n v="248.08"/>
    <n v="32"/>
  </r>
  <r>
    <x v="2"/>
    <s v="February"/>
    <x v="0"/>
    <n v="13663"/>
    <n v="29697"/>
    <n v="381"/>
    <n v="5882.98"/>
    <n v="1.28"/>
    <n v="15.44"/>
    <n v="198.1"/>
    <n v="41"/>
  </r>
  <r>
    <x v="2"/>
    <s v="February"/>
    <x v="0"/>
    <n v="13139"/>
    <n v="24229"/>
    <n v="391"/>
    <n v="2451.25"/>
    <n v="1.61"/>
    <n v="6.27"/>
    <n v="101.17"/>
    <n v="39"/>
  </r>
  <r>
    <x v="2"/>
    <s v="February"/>
    <x v="2"/>
    <n v="17932"/>
    <n v="31690"/>
    <n v="271"/>
    <n v="7053.24"/>
    <n v="0.86"/>
    <n v="26.03"/>
    <n v="222.57"/>
    <n v="15"/>
  </r>
  <r>
    <x v="2"/>
    <s v="February"/>
    <x v="2"/>
    <n v="9894"/>
    <n v="25484"/>
    <n v="304"/>
    <n v="3692.89"/>
    <n v="1.19"/>
    <n v="12.15"/>
    <n v="144.91"/>
    <n v="7"/>
  </r>
  <r>
    <x v="2"/>
    <s v="February"/>
    <x v="2"/>
    <n v="17446"/>
    <n v="25793"/>
    <n v="199"/>
    <n v="5145.96"/>
    <n v="0.77"/>
    <n v="25.86"/>
    <n v="199.51"/>
    <n v="6"/>
  </r>
  <r>
    <x v="2"/>
    <s v="February"/>
    <x v="2"/>
    <n v="12173"/>
    <n v="16551"/>
    <n v="410"/>
    <n v="3986.14"/>
    <n v="2.48"/>
    <n v="9.7200000000000006"/>
    <n v="240.84"/>
    <n v="11"/>
  </r>
  <r>
    <x v="2"/>
    <s v="February"/>
    <x v="2"/>
    <n v="19612"/>
    <n v="32639"/>
    <n v="271"/>
    <n v="3921.25"/>
    <n v="0.83"/>
    <n v="14.47"/>
    <n v="120.14"/>
    <n v="23"/>
  </r>
  <r>
    <x v="2"/>
    <s v="February"/>
    <x v="2"/>
    <n v="8027"/>
    <n v="29036"/>
    <n v="355"/>
    <n v="3406.21"/>
    <n v="1.22"/>
    <n v="9.59"/>
    <n v="117.31"/>
    <n v="17"/>
  </r>
  <r>
    <x v="2"/>
    <s v="February"/>
    <x v="1"/>
    <n v="16821"/>
    <n v="25095"/>
    <n v="304"/>
    <n v="2912.53"/>
    <n v="1.21"/>
    <n v="9.58"/>
    <n v="116.06"/>
    <n v="33"/>
  </r>
  <r>
    <x v="2"/>
    <s v="February"/>
    <x v="1"/>
    <n v="13967"/>
    <n v="25223"/>
    <n v="357"/>
    <n v="4615.3"/>
    <n v="1.42"/>
    <n v="12.93"/>
    <n v="182.98"/>
    <n v="12"/>
  </r>
  <r>
    <x v="2"/>
    <s v="February"/>
    <x v="1"/>
    <n v="9146"/>
    <n v="22819"/>
    <n v="468"/>
    <n v="3214.06"/>
    <n v="2.0499999999999998"/>
    <n v="6.87"/>
    <n v="140.85"/>
    <n v="30"/>
  </r>
  <r>
    <x v="2"/>
    <s v="February"/>
    <x v="2"/>
    <n v="18209"/>
    <n v="28814"/>
    <n v="447"/>
    <n v="5495.41"/>
    <n v="1.55"/>
    <n v="12.29"/>
    <n v="190.72"/>
    <n v="36"/>
  </r>
  <r>
    <x v="2"/>
    <s v="February"/>
    <x v="2"/>
    <n v="18868"/>
    <n v="26569"/>
    <n v="425"/>
    <n v="5516.79"/>
    <n v="1.6"/>
    <n v="12.98"/>
    <n v="207.64"/>
    <n v="11"/>
  </r>
  <r>
    <x v="2"/>
    <s v="February"/>
    <x v="0"/>
    <n v="19792"/>
    <n v="30649"/>
    <n v="340"/>
    <n v="4000.92"/>
    <n v="1.1100000000000001"/>
    <n v="11.77"/>
    <n v="130.54"/>
    <n v="27"/>
  </r>
  <r>
    <x v="2"/>
    <s v="February"/>
    <x v="0"/>
    <n v="16308"/>
    <n v="26267"/>
    <n v="323"/>
    <n v="5125.74"/>
    <n v="1.23"/>
    <n v="15.87"/>
    <n v="195.14"/>
    <n v="9"/>
  </r>
  <r>
    <x v="2"/>
    <s v="February"/>
    <x v="1"/>
    <n v="18926"/>
    <n v="31294"/>
    <n v="239"/>
    <n v="4368.6400000000003"/>
    <n v="0.76"/>
    <n v="18.28"/>
    <n v="139.6"/>
    <n v="23"/>
  </r>
  <r>
    <x v="2"/>
    <s v="February"/>
    <x v="2"/>
    <n v="13344"/>
    <n v="23939"/>
    <n v="231"/>
    <n v="4148.1499999999996"/>
    <n v="0.96"/>
    <n v="17.96"/>
    <n v="173.28"/>
    <n v="10"/>
  </r>
  <r>
    <x v="2"/>
    <s v="February"/>
    <x v="2"/>
    <n v="19423"/>
    <n v="30093"/>
    <n v="236"/>
    <n v="7095.93"/>
    <n v="0.78"/>
    <n v="30.07"/>
    <n v="235.8"/>
    <n v="27"/>
  </r>
  <r>
    <x v="2"/>
    <s v="February"/>
    <x v="2"/>
    <n v="17083"/>
    <n v="24292"/>
    <n v="290"/>
    <n v="5512.34"/>
    <n v="1.19"/>
    <n v="19.010000000000002"/>
    <n v="226.92"/>
    <n v="0"/>
  </r>
  <r>
    <x v="2"/>
    <s v="March"/>
    <x v="1"/>
    <n v="11143"/>
    <n v="28262"/>
    <n v="187"/>
    <n v="3217.35"/>
    <n v="0.66"/>
    <n v="17.21"/>
    <n v="113.84"/>
    <n v="14"/>
  </r>
  <r>
    <x v="2"/>
    <s v="March"/>
    <x v="2"/>
    <n v="18894"/>
    <n v="30773"/>
    <n v="265"/>
    <n v="5032.62"/>
    <n v="0.86"/>
    <n v="18.989999999999998"/>
    <n v="163.54"/>
    <n v="0"/>
  </r>
  <r>
    <x v="2"/>
    <s v="March"/>
    <x v="2"/>
    <n v="19097"/>
    <n v="27677"/>
    <n v="210"/>
    <n v="3916.3"/>
    <n v="0.76"/>
    <n v="18.649999999999999"/>
    <n v="141.5"/>
    <n v="15"/>
  </r>
  <r>
    <x v="2"/>
    <s v="March"/>
    <x v="2"/>
    <n v="18084"/>
    <n v="28439"/>
    <n v="265"/>
    <n v="2858.97"/>
    <n v="0.93"/>
    <n v="10.79"/>
    <n v="100.53"/>
    <n v="15"/>
  </r>
  <r>
    <x v="2"/>
    <s v="March"/>
    <x v="2"/>
    <n v="14653"/>
    <n v="28025"/>
    <n v="298"/>
    <n v="6044.15"/>
    <n v="1.06"/>
    <n v="20.28"/>
    <n v="215.67"/>
    <n v="24"/>
  </r>
  <r>
    <x v="2"/>
    <s v="March"/>
    <x v="2"/>
    <n v="8006"/>
    <n v="21957"/>
    <n v="288"/>
    <n v="4294.13"/>
    <n v="1.31"/>
    <n v="14.91"/>
    <n v="195.57"/>
    <n v="32"/>
  </r>
  <r>
    <x v="2"/>
    <s v="March"/>
    <x v="1"/>
    <n v="12700"/>
    <n v="19953"/>
    <n v="178"/>
    <n v="2779.25"/>
    <n v="0.89"/>
    <n v="15.61"/>
    <n v="139.29"/>
    <n v="0"/>
  </r>
  <r>
    <x v="2"/>
    <s v="March"/>
    <x v="1"/>
    <n v="15043"/>
    <n v="29057"/>
    <n v="299"/>
    <n v="6136.26"/>
    <n v="1.03"/>
    <n v="20.52"/>
    <n v="211.18"/>
    <n v="19"/>
  </r>
  <r>
    <x v="2"/>
    <s v="March"/>
    <x v="2"/>
    <n v="17939"/>
    <n v="28599"/>
    <n v="436"/>
    <n v="5226.47"/>
    <n v="1.52"/>
    <n v="11.99"/>
    <n v="182.75"/>
    <n v="23"/>
  </r>
  <r>
    <x v="2"/>
    <s v="March"/>
    <x v="2"/>
    <n v="15618"/>
    <n v="27541"/>
    <n v="372"/>
    <n v="4520.8599999999997"/>
    <n v="1.35"/>
    <n v="12.15"/>
    <n v="164.15"/>
    <n v="13"/>
  </r>
  <r>
    <x v="2"/>
    <s v="March"/>
    <x v="2"/>
    <n v="15244"/>
    <n v="30886"/>
    <n v="428"/>
    <n v="3133.38"/>
    <n v="1.39"/>
    <n v="7.32"/>
    <n v="101.45"/>
    <n v="46"/>
  </r>
  <r>
    <x v="2"/>
    <s v="March"/>
    <x v="2"/>
    <n v="11501"/>
    <n v="31701"/>
    <n v="198"/>
    <n v="3528"/>
    <n v="0.62"/>
    <n v="17.82"/>
    <n v="111.29"/>
    <n v="0"/>
  </r>
  <r>
    <x v="2"/>
    <s v="March"/>
    <x v="2"/>
    <n v="15752"/>
    <n v="23257"/>
    <n v="283"/>
    <n v="5406.55"/>
    <n v="1.22"/>
    <n v="19.100000000000001"/>
    <n v="232.47"/>
    <n v="26"/>
  </r>
  <r>
    <x v="2"/>
    <s v="March"/>
    <x v="2"/>
    <n v="18794"/>
    <n v="25821"/>
    <n v="318"/>
    <n v="6083.17"/>
    <n v="1.23"/>
    <n v="19.13"/>
    <n v="235.59"/>
    <n v="7"/>
  </r>
  <r>
    <x v="2"/>
    <s v="March"/>
    <x v="2"/>
    <n v="12649"/>
    <n v="24888"/>
    <n v="406"/>
    <n v="4525.63"/>
    <n v="1.63"/>
    <n v="11.15"/>
    <n v="181.84"/>
    <n v="36"/>
  </r>
  <r>
    <x v="2"/>
    <s v="March"/>
    <x v="2"/>
    <n v="18876"/>
    <n v="30029"/>
    <n v="392"/>
    <n v="6762.23"/>
    <n v="1.31"/>
    <n v="17.25"/>
    <n v="225.19"/>
    <n v="8"/>
  </r>
  <r>
    <x v="2"/>
    <s v="March"/>
    <x v="0"/>
    <n v="9530"/>
    <n v="20085"/>
    <n v="365"/>
    <n v="3763.53"/>
    <n v="1.82"/>
    <n v="10.31"/>
    <n v="187.38"/>
    <n v="25"/>
  </r>
  <r>
    <x v="2"/>
    <s v="March"/>
    <x v="0"/>
    <n v="19023"/>
    <n v="29814"/>
    <n v="330"/>
    <n v="3643.57"/>
    <n v="1.1100000000000001"/>
    <n v="11.04"/>
    <n v="122.21"/>
    <n v="0"/>
  </r>
  <r>
    <x v="2"/>
    <s v="March"/>
    <x v="1"/>
    <n v="11680"/>
    <n v="21709"/>
    <n v="313"/>
    <n v="2585.98"/>
    <n v="1.44"/>
    <n v="8.26"/>
    <n v="119.12"/>
    <n v="0"/>
  </r>
  <r>
    <x v="2"/>
    <s v="March"/>
    <x v="2"/>
    <n v="10414"/>
    <n v="14338"/>
    <n v="219"/>
    <n v="2096.79"/>
    <n v="1.53"/>
    <n v="9.57"/>
    <n v="146.24"/>
    <n v="24"/>
  </r>
  <r>
    <x v="2"/>
    <s v="March"/>
    <x v="2"/>
    <n v="8757"/>
    <n v="20023"/>
    <n v="327"/>
    <n v="4702.3999999999996"/>
    <n v="1.63"/>
    <n v="14.38"/>
    <n v="234.85"/>
    <n v="13"/>
  </r>
  <r>
    <x v="2"/>
    <s v="March"/>
    <x v="2"/>
    <n v="15784"/>
    <n v="30534"/>
    <n v="328"/>
    <n v="6699.77"/>
    <n v="1.07"/>
    <n v="20.43"/>
    <n v="219.42"/>
    <n v="0"/>
  </r>
  <r>
    <x v="2"/>
    <s v="March"/>
    <x v="2"/>
    <n v="9193"/>
    <n v="26923"/>
    <n v="396"/>
    <n v="6168.33"/>
    <n v="1.47"/>
    <n v="15.58"/>
    <n v="229.11"/>
    <n v="45"/>
  </r>
  <r>
    <x v="2"/>
    <s v="March"/>
    <x v="2"/>
    <n v="14790"/>
    <n v="29545"/>
    <n v="302"/>
    <n v="6938.35"/>
    <n v="1.02"/>
    <n v="22.97"/>
    <n v="234.84"/>
    <n v="31"/>
  </r>
  <r>
    <x v="2"/>
    <s v="April"/>
    <x v="0"/>
    <n v="17431"/>
    <n v="25845"/>
    <n v="298"/>
    <n v="3398.88"/>
    <n v="1.1499999999999999"/>
    <n v="11.41"/>
    <n v="131.51"/>
    <n v="19"/>
  </r>
  <r>
    <x v="2"/>
    <s v="April"/>
    <x v="2"/>
    <n v="19769"/>
    <n v="31990"/>
    <n v="394"/>
    <n v="4396.3900000000003"/>
    <n v="1.23"/>
    <n v="11.16"/>
    <n v="137.43"/>
    <n v="15"/>
  </r>
  <r>
    <x v="2"/>
    <s v="April"/>
    <x v="2"/>
    <n v="16099"/>
    <n v="27475"/>
    <n v="333"/>
    <n v="3171.16"/>
    <n v="1.21"/>
    <n v="9.52"/>
    <n v="115.42"/>
    <n v="21"/>
  </r>
  <r>
    <x v="2"/>
    <s v="April"/>
    <x v="2"/>
    <n v="11997"/>
    <n v="20431"/>
    <n v="199"/>
    <n v="4433.9399999999996"/>
    <n v="0.97"/>
    <n v="22.28"/>
    <n v="217.02"/>
    <n v="11"/>
  </r>
  <r>
    <x v="2"/>
    <s v="April"/>
    <x v="2"/>
    <n v="18748"/>
    <n v="24462"/>
    <n v="401"/>
    <n v="5690.35"/>
    <n v="1.64"/>
    <n v="14.19"/>
    <n v="232.62"/>
    <n v="46"/>
  </r>
  <r>
    <x v="2"/>
    <s v="April"/>
    <x v="2"/>
    <n v="9746"/>
    <n v="26600"/>
    <n v="261"/>
    <n v="4281.54"/>
    <n v="0.98"/>
    <n v="16.399999999999999"/>
    <n v="160.96"/>
    <n v="24"/>
  </r>
  <r>
    <x v="2"/>
    <s v="April"/>
    <x v="2"/>
    <n v="11585"/>
    <n v="20823"/>
    <n v="286"/>
    <n v="4020.92"/>
    <n v="1.37"/>
    <n v="14.06"/>
    <n v="193.1"/>
    <n v="27"/>
  </r>
  <r>
    <x v="2"/>
    <s v="April"/>
    <x v="2"/>
    <n v="19401"/>
    <n v="33707"/>
    <n v="253"/>
    <n v="4152.03"/>
    <n v="0.75"/>
    <n v="16.41"/>
    <n v="123.18"/>
    <n v="19"/>
  </r>
  <r>
    <x v="2"/>
    <s v="April"/>
    <x v="0"/>
    <n v="15611"/>
    <n v="21116"/>
    <n v="465"/>
    <n v="5056.8599999999997"/>
    <n v="2.2000000000000002"/>
    <n v="10.87"/>
    <n v="239.48"/>
    <n v="40"/>
  </r>
  <r>
    <x v="2"/>
    <s v="April"/>
    <x v="1"/>
    <n v="17132"/>
    <n v="26353"/>
    <n v="268"/>
    <n v="6053.02"/>
    <n v="1.02"/>
    <n v="22.59"/>
    <n v="229.69"/>
    <n v="15"/>
  </r>
  <r>
    <x v="2"/>
    <s v="April"/>
    <x v="2"/>
    <n v="9988"/>
    <n v="27941"/>
    <n v="168"/>
    <n v="6885.5"/>
    <n v="0.6"/>
    <n v="40.99"/>
    <n v="246.43"/>
    <n v="0"/>
  </r>
  <r>
    <x v="2"/>
    <s v="April"/>
    <x v="2"/>
    <n v="10184"/>
    <n v="28464"/>
    <n v="326"/>
    <n v="6308.19"/>
    <n v="1.1499999999999999"/>
    <n v="19.350000000000001"/>
    <n v="221.62"/>
    <n v="21"/>
  </r>
  <r>
    <x v="2"/>
    <s v="April"/>
    <x v="2"/>
    <n v="18937"/>
    <n v="33320"/>
    <n v="402"/>
    <n v="7737.24"/>
    <n v="1.21"/>
    <n v="19.25"/>
    <n v="232.21"/>
    <n v="33"/>
  </r>
  <r>
    <x v="2"/>
    <s v="April"/>
    <x v="1"/>
    <n v="17157"/>
    <n v="27502"/>
    <n v="372"/>
    <n v="2852.51"/>
    <n v="1.35"/>
    <n v="7.67"/>
    <n v="103.72"/>
    <n v="20"/>
  </r>
  <r>
    <x v="3"/>
    <s v="January"/>
    <x v="0"/>
    <n v="19502"/>
    <n v="35389"/>
    <n v="796"/>
    <n v="2318.33"/>
    <n v="2.25"/>
    <n v="2.91"/>
    <n v="65.510000000000005"/>
    <n v="0"/>
  </r>
  <r>
    <x v="3"/>
    <s v="January"/>
    <x v="1"/>
    <n v="21540"/>
    <n v="34993"/>
    <n v="1469"/>
    <n v="1514.15"/>
    <n v="4.2"/>
    <n v="1.03"/>
    <n v="43.27"/>
    <n v="0"/>
  </r>
  <r>
    <x v="3"/>
    <s v="January"/>
    <x v="1"/>
    <n v="22952"/>
    <n v="37142"/>
    <n v="823"/>
    <n v="2829.85"/>
    <n v="2.2200000000000002"/>
    <n v="3.44"/>
    <n v="76.19"/>
    <n v="79"/>
  </r>
  <r>
    <x v="3"/>
    <s v="January"/>
    <x v="1"/>
    <n v="10215"/>
    <n v="37647"/>
    <n v="779"/>
    <n v="2602.16"/>
    <n v="2.0699999999999998"/>
    <n v="3.34"/>
    <n v="69.12"/>
    <n v="79"/>
  </r>
  <r>
    <x v="3"/>
    <s v="January"/>
    <x v="1"/>
    <n v="20554"/>
    <n v="34093"/>
    <n v="1508"/>
    <n v="2472.42"/>
    <n v="4.42"/>
    <n v="1.64"/>
    <n v="72.52"/>
    <n v="0"/>
  </r>
  <r>
    <x v="3"/>
    <s v="January"/>
    <x v="2"/>
    <n v="13493"/>
    <n v="25641"/>
    <n v="859"/>
    <n v="1784.36"/>
    <n v="3.35"/>
    <n v="2.08"/>
    <n v="69.59"/>
    <n v="39"/>
  </r>
  <r>
    <x v="3"/>
    <s v="January"/>
    <x v="2"/>
    <n v="14086"/>
    <n v="35392"/>
    <n v="700"/>
    <n v="1404"/>
    <n v="1.98"/>
    <n v="2.0099999999999998"/>
    <n v="39.67"/>
    <n v="83"/>
  </r>
  <r>
    <x v="3"/>
    <s v="January"/>
    <x v="2"/>
    <n v="20879"/>
    <n v="37410"/>
    <n v="1053"/>
    <n v="2555.48"/>
    <n v="2.81"/>
    <n v="2.4300000000000002"/>
    <n v="68.31"/>
    <n v="97"/>
  </r>
  <r>
    <x v="3"/>
    <s v="January"/>
    <x v="0"/>
    <n v="12839"/>
    <n v="25688"/>
    <n v="1241"/>
    <n v="795.04"/>
    <n v="4.83"/>
    <n v="0.64"/>
    <n v="30.95"/>
    <n v="50"/>
  </r>
  <r>
    <x v="3"/>
    <s v="January"/>
    <x v="0"/>
    <n v="14362"/>
    <n v="26353"/>
    <n v="1679"/>
    <n v="1903.21"/>
    <n v="6.37"/>
    <n v="1.1299999999999999"/>
    <n v="72.22"/>
    <n v="115"/>
  </r>
  <r>
    <x v="3"/>
    <s v="January"/>
    <x v="1"/>
    <n v="15476"/>
    <n v="37817"/>
    <n v="1280"/>
    <n v="2643.79"/>
    <n v="3.38"/>
    <n v="2.0699999999999998"/>
    <n v="69.91"/>
    <n v="55"/>
  </r>
  <r>
    <x v="3"/>
    <s v="January"/>
    <x v="2"/>
    <n v="7640"/>
    <n v="14466"/>
    <n v="1248"/>
    <n v="727.93"/>
    <n v="8.6300000000000008"/>
    <n v="0.57999999999999996"/>
    <n v="50.32"/>
    <n v="138"/>
  </r>
  <r>
    <x v="3"/>
    <s v="January"/>
    <x v="0"/>
    <n v="9942"/>
    <n v="20501"/>
    <n v="1100"/>
    <n v="856.74"/>
    <n v="5.37"/>
    <n v="0.78"/>
    <n v="41.79"/>
    <n v="76"/>
  </r>
  <r>
    <x v="3"/>
    <s v="January"/>
    <x v="0"/>
    <n v="17551"/>
    <n v="27823"/>
    <n v="1027"/>
    <n v="1912.55"/>
    <n v="3.69"/>
    <n v="1.86"/>
    <n v="68.739999999999995"/>
    <n v="81"/>
  </r>
  <r>
    <x v="3"/>
    <s v="January"/>
    <x v="0"/>
    <n v="12010"/>
    <n v="17717"/>
    <n v="1191"/>
    <n v="664.74"/>
    <n v="6.72"/>
    <n v="0.56000000000000005"/>
    <n v="37.520000000000003"/>
    <n v="133"/>
  </r>
  <r>
    <x v="3"/>
    <s v="January"/>
    <x v="0"/>
    <n v="18594"/>
    <n v="30850"/>
    <n v="1323"/>
    <n v="811.36"/>
    <n v="4.29"/>
    <n v="0.61"/>
    <n v="26.3"/>
    <n v="43"/>
  </r>
  <r>
    <x v="3"/>
    <s v="January"/>
    <x v="0"/>
    <n v="15842"/>
    <n v="38374"/>
    <n v="1203"/>
    <n v="1366.88"/>
    <n v="3.13"/>
    <n v="1.1399999999999999"/>
    <n v="35.619999999999997"/>
    <n v="133"/>
  </r>
  <r>
    <x v="3"/>
    <s v="January"/>
    <x v="1"/>
    <n v="20267"/>
    <n v="33159"/>
    <n v="1506"/>
    <n v="1427.49"/>
    <n v="4.54"/>
    <n v="0.95"/>
    <n v="43.05"/>
    <n v="153"/>
  </r>
  <r>
    <x v="3"/>
    <s v="January"/>
    <x v="2"/>
    <n v="7040"/>
    <n v="15929"/>
    <n v="1492"/>
    <n v="1155.49"/>
    <n v="9.3699999999999992"/>
    <n v="0.77"/>
    <n v="72.540000000000006"/>
    <n v="91"/>
  </r>
  <r>
    <x v="3"/>
    <s v="January"/>
    <x v="0"/>
    <n v="18767"/>
    <n v="30778"/>
    <n v="755"/>
    <n v="2406.2199999999998"/>
    <n v="2.4500000000000002"/>
    <n v="3.19"/>
    <n v="78.180000000000007"/>
    <n v="89"/>
  </r>
  <r>
    <x v="3"/>
    <s v="January"/>
    <x v="0"/>
    <n v="24139"/>
    <n v="42775"/>
    <n v="932"/>
    <n v="1725.97"/>
    <n v="2.1800000000000002"/>
    <n v="1.85"/>
    <n v="40.35"/>
    <n v="82"/>
  </r>
  <r>
    <x v="3"/>
    <s v="January"/>
    <x v="0"/>
    <n v="5640"/>
    <n v="36073"/>
    <n v="758"/>
    <n v="2174.48"/>
    <n v="2.1"/>
    <n v="2.87"/>
    <n v="60.28"/>
    <n v="34"/>
  </r>
  <r>
    <x v="3"/>
    <s v="January"/>
    <x v="0"/>
    <n v="23864"/>
    <n v="37255"/>
    <n v="1190"/>
    <n v="1750.24"/>
    <n v="3.19"/>
    <n v="1.47"/>
    <n v="46.98"/>
    <n v="59"/>
  </r>
  <r>
    <x v="3"/>
    <s v="January"/>
    <x v="0"/>
    <n v="20629"/>
    <n v="26913"/>
    <n v="904"/>
    <n v="2125.0500000000002"/>
    <n v="3.36"/>
    <n v="2.35"/>
    <n v="78.959999999999994"/>
    <n v="101"/>
  </r>
  <r>
    <x v="3"/>
    <s v="January"/>
    <x v="0"/>
    <n v="16526"/>
    <n v="31267"/>
    <n v="812"/>
    <n v="1703.74"/>
    <n v="2.6"/>
    <n v="2.1"/>
    <n v="54.49"/>
    <n v="34"/>
  </r>
  <r>
    <x v="3"/>
    <s v="January"/>
    <x v="0"/>
    <n v="17779"/>
    <n v="36842"/>
    <n v="1095"/>
    <n v="2824.31"/>
    <n v="2.97"/>
    <n v="2.58"/>
    <n v="76.66"/>
    <n v="59"/>
  </r>
  <r>
    <x v="3"/>
    <s v="January"/>
    <x v="1"/>
    <n v="22636"/>
    <n v="38373"/>
    <n v="966"/>
    <n v="1202.6099999999999"/>
    <n v="2.52"/>
    <n v="1.24"/>
    <n v="31.34"/>
    <n v="76"/>
  </r>
  <r>
    <x v="3"/>
    <s v="January"/>
    <x v="1"/>
    <n v="24767"/>
    <n v="35810"/>
    <n v="939"/>
    <n v="2806.43"/>
    <n v="2.62"/>
    <n v="2.99"/>
    <n v="78.37"/>
    <n v="103"/>
  </r>
  <r>
    <x v="3"/>
    <s v="January"/>
    <x v="1"/>
    <n v="20998"/>
    <n v="30892"/>
    <n v="884"/>
    <n v="1075.6600000000001"/>
    <n v="2.86"/>
    <n v="1.22"/>
    <n v="34.82"/>
    <n v="76"/>
  </r>
  <r>
    <x v="3"/>
    <s v="January"/>
    <x v="2"/>
    <n v="13943"/>
    <n v="32406"/>
    <n v="615"/>
    <n v="2525.7199999999998"/>
    <n v="1.9"/>
    <n v="4.1100000000000003"/>
    <n v="77.94"/>
    <n v="66"/>
  </r>
  <r>
    <x v="3"/>
    <s v="January"/>
    <x v="2"/>
    <n v="20913"/>
    <n v="27661"/>
    <n v="1064"/>
    <n v="1095.3800000000001"/>
    <n v="3.85"/>
    <n v="1.03"/>
    <n v="39.6"/>
    <n v="45"/>
  </r>
  <r>
    <x v="3"/>
    <s v="February"/>
    <x v="1"/>
    <n v="17742"/>
    <n v="34078"/>
    <n v="1150"/>
    <n v="1055.05"/>
    <n v="3.37"/>
    <n v="0.92"/>
    <n v="30.96"/>
    <n v="99"/>
  </r>
  <r>
    <x v="3"/>
    <s v="February"/>
    <x v="1"/>
    <n v="18248"/>
    <n v="35586"/>
    <n v="898"/>
    <n v="1740.16"/>
    <n v="2.52"/>
    <n v="1.94"/>
    <n v="48.9"/>
    <n v="0"/>
  </r>
  <r>
    <x v="3"/>
    <s v="February"/>
    <x v="1"/>
    <n v="10408"/>
    <n v="28845"/>
    <n v="1137"/>
    <n v="1876.94"/>
    <n v="3.94"/>
    <n v="1.65"/>
    <n v="65.069999999999993"/>
    <n v="41"/>
  </r>
  <r>
    <x v="3"/>
    <s v="February"/>
    <x v="1"/>
    <n v="9182"/>
    <n v="32326"/>
    <n v="1107"/>
    <n v="1365.77"/>
    <n v="3.42"/>
    <n v="1.23"/>
    <n v="42.25"/>
    <n v="41"/>
  </r>
  <r>
    <x v="3"/>
    <s v="February"/>
    <x v="2"/>
    <n v="22502"/>
    <n v="29693"/>
    <n v="1018"/>
    <n v="1732.29"/>
    <n v="3.43"/>
    <n v="1.7"/>
    <n v="58.34"/>
    <n v="101"/>
  </r>
  <r>
    <x v="3"/>
    <s v="February"/>
    <x v="2"/>
    <n v="17911"/>
    <n v="24172"/>
    <n v="1037"/>
    <n v="1284.26"/>
    <n v="4.29"/>
    <n v="1.24"/>
    <n v="53.13"/>
    <n v="109"/>
  </r>
  <r>
    <x v="3"/>
    <s v="February"/>
    <x v="1"/>
    <n v="7750"/>
    <n v="31136"/>
    <n v="1005"/>
    <n v="1438.17"/>
    <n v="3.23"/>
    <n v="1.43"/>
    <n v="46.19"/>
    <n v="102"/>
  </r>
  <r>
    <x v="3"/>
    <s v="February"/>
    <x v="1"/>
    <n v="19044"/>
    <n v="26980"/>
    <n v="890"/>
    <n v="1530.04"/>
    <n v="3.3"/>
    <n v="1.72"/>
    <n v="56.71"/>
    <n v="82"/>
  </r>
  <r>
    <x v="3"/>
    <s v="February"/>
    <x v="1"/>
    <n v="20128"/>
    <n v="29143"/>
    <n v="1106"/>
    <n v="1136.8699999999999"/>
    <n v="3.8"/>
    <n v="1.03"/>
    <n v="39.01"/>
    <n v="54"/>
  </r>
  <r>
    <x v="3"/>
    <s v="February"/>
    <x v="1"/>
    <n v="6647"/>
    <n v="17165"/>
    <n v="1150"/>
    <n v="1098.22"/>
    <n v="6.7"/>
    <n v="0.95"/>
    <n v="63.98"/>
    <n v="90"/>
  </r>
  <r>
    <x v="3"/>
    <s v="February"/>
    <x v="2"/>
    <n v="17422"/>
    <n v="33374"/>
    <n v="981"/>
    <n v="837.35"/>
    <n v="2.94"/>
    <n v="0.85"/>
    <n v="25.09"/>
    <n v="28"/>
  </r>
  <r>
    <x v="3"/>
    <s v="February"/>
    <x v="2"/>
    <n v="11935"/>
    <n v="30414"/>
    <n v="1424"/>
    <n v="2308.73"/>
    <n v="4.68"/>
    <n v="1.62"/>
    <n v="75.91"/>
    <n v="57"/>
  </r>
  <r>
    <x v="3"/>
    <s v="February"/>
    <x v="2"/>
    <n v="15710"/>
    <n v="31482"/>
    <n v="1356"/>
    <n v="1719.23"/>
    <n v="4.3099999999999996"/>
    <n v="1.27"/>
    <n v="54.61"/>
    <n v="70"/>
  </r>
  <r>
    <x v="3"/>
    <s v="February"/>
    <x v="1"/>
    <n v="17423"/>
    <n v="31766"/>
    <n v="999"/>
    <n v="2051.13"/>
    <n v="3.14"/>
    <n v="2.0499999999999998"/>
    <n v="64.569999999999993"/>
    <n v="95"/>
  </r>
  <r>
    <x v="3"/>
    <s v="February"/>
    <x v="1"/>
    <n v="18813"/>
    <n v="28589"/>
    <n v="994"/>
    <n v="1881.44"/>
    <n v="3.48"/>
    <n v="1.89"/>
    <n v="65.81"/>
    <n v="61"/>
  </r>
  <r>
    <x v="3"/>
    <s v="February"/>
    <x v="2"/>
    <n v="7683"/>
    <n v="25398"/>
    <n v="1180"/>
    <n v="1571.63"/>
    <n v="4.6500000000000004"/>
    <n v="1.33"/>
    <n v="61.88"/>
    <n v="55"/>
  </r>
  <r>
    <x v="3"/>
    <s v="February"/>
    <x v="2"/>
    <n v="5635"/>
    <n v="32544"/>
    <n v="1342"/>
    <n v="1465.46"/>
    <n v="4.12"/>
    <n v="1.0900000000000001"/>
    <n v="45.03"/>
    <n v="107"/>
  </r>
  <r>
    <x v="3"/>
    <s v="February"/>
    <x v="0"/>
    <n v="22675"/>
    <n v="30330"/>
    <n v="994"/>
    <n v="875.02"/>
    <n v="3.28"/>
    <n v="0.88"/>
    <n v="28.85"/>
    <n v="78"/>
  </r>
  <r>
    <x v="3"/>
    <s v="February"/>
    <x v="1"/>
    <n v="16467"/>
    <n v="28754"/>
    <n v="953"/>
    <n v="1769.23"/>
    <n v="3.31"/>
    <n v="1.86"/>
    <n v="61.53"/>
    <n v="92"/>
  </r>
  <r>
    <x v="3"/>
    <s v="February"/>
    <x v="2"/>
    <n v="7248"/>
    <n v="35021"/>
    <n v="801"/>
    <n v="1511.51"/>
    <n v="2.29"/>
    <n v="1.89"/>
    <n v="43.16"/>
    <n v="42"/>
  </r>
  <r>
    <x v="3"/>
    <s v="March"/>
    <x v="0"/>
    <n v="6319"/>
    <n v="32928"/>
    <n v="1158"/>
    <n v="1391.87"/>
    <n v="3.52"/>
    <n v="1.2"/>
    <n v="42.27"/>
    <n v="110"/>
  </r>
  <r>
    <x v="3"/>
    <s v="March"/>
    <x v="0"/>
    <n v="6016"/>
    <n v="39116"/>
    <n v="818"/>
    <n v="2802.27"/>
    <n v="2.09"/>
    <n v="3.43"/>
    <n v="71.64"/>
    <n v="70"/>
  </r>
  <r>
    <x v="3"/>
    <s v="March"/>
    <x v="1"/>
    <n v="13102"/>
    <n v="23564"/>
    <n v="907"/>
    <n v="1522"/>
    <n v="3.85"/>
    <n v="1.68"/>
    <n v="64.59"/>
    <n v="85"/>
  </r>
  <r>
    <x v="3"/>
    <s v="March"/>
    <x v="1"/>
    <n v="5667"/>
    <n v="28359"/>
    <n v="1079"/>
    <n v="1177.47"/>
    <n v="3.8"/>
    <n v="1.0900000000000001"/>
    <n v="41.52"/>
    <n v="81"/>
  </r>
  <r>
    <x v="3"/>
    <s v="March"/>
    <x v="2"/>
    <n v="9993"/>
    <n v="20806"/>
    <n v="1173"/>
    <n v="874.06"/>
    <n v="5.64"/>
    <n v="0.75"/>
    <n v="42.01"/>
    <n v="62"/>
  </r>
  <r>
    <x v="3"/>
    <s v="March"/>
    <x v="2"/>
    <n v="9136"/>
    <n v="27393"/>
    <n v="1205"/>
    <n v="1300.07"/>
    <n v="4.4000000000000004"/>
    <n v="1.08"/>
    <n v="47.46"/>
    <n v="44"/>
  </r>
  <r>
    <x v="3"/>
    <s v="March"/>
    <x v="2"/>
    <n v="8748"/>
    <n v="29852"/>
    <n v="1132"/>
    <n v="1406.92"/>
    <n v="3.79"/>
    <n v="1.24"/>
    <n v="47.13"/>
    <n v="124"/>
  </r>
  <r>
    <x v="3"/>
    <s v="March"/>
    <x v="2"/>
    <n v="12142"/>
    <n v="31022"/>
    <n v="927"/>
    <n v="1279.97"/>
    <n v="2.99"/>
    <n v="1.38"/>
    <n v="41.26"/>
    <n v="55"/>
  </r>
  <r>
    <x v="3"/>
    <s v="March"/>
    <x v="2"/>
    <n v="13396"/>
    <n v="29501"/>
    <n v="1210"/>
    <n v="944.03"/>
    <n v="4.0999999999999996"/>
    <n v="0.78"/>
    <n v="32"/>
    <n v="42"/>
  </r>
  <r>
    <x v="3"/>
    <s v="March"/>
    <x v="2"/>
    <n v="10498"/>
    <n v="33500"/>
    <n v="1079"/>
    <n v="1612.02"/>
    <n v="3.22"/>
    <n v="1.49"/>
    <n v="48.12"/>
    <n v="43"/>
  </r>
  <r>
    <x v="3"/>
    <s v="March"/>
    <x v="2"/>
    <n v="24898"/>
    <n v="44621"/>
    <n v="1175"/>
    <n v="3423.32"/>
    <n v="2.63"/>
    <n v="2.91"/>
    <n v="76.72"/>
    <n v="44"/>
  </r>
  <r>
    <x v="3"/>
    <s v="March"/>
    <x v="2"/>
    <n v="8753"/>
    <n v="36864"/>
    <n v="1081"/>
    <n v="2294.7800000000002"/>
    <n v="2.93"/>
    <n v="2.12"/>
    <n v="62.25"/>
    <n v="124"/>
  </r>
  <r>
    <x v="3"/>
    <s v="March"/>
    <x v="2"/>
    <n v="10366"/>
    <n v="23667"/>
    <n v="1200"/>
    <n v="1766.74"/>
    <n v="5.07"/>
    <n v="1.47"/>
    <n v="74.650000000000006"/>
    <n v="104"/>
  </r>
  <r>
    <x v="3"/>
    <s v="March"/>
    <x v="2"/>
    <n v="8542"/>
    <n v="30066"/>
    <n v="1441"/>
    <n v="1769.38"/>
    <n v="4.79"/>
    <n v="1.23"/>
    <n v="58.85"/>
    <n v="168"/>
  </r>
  <r>
    <x v="3"/>
    <s v="March"/>
    <x v="2"/>
    <n v="5841"/>
    <n v="38437"/>
    <n v="874"/>
    <n v="1597.06"/>
    <n v="2.27"/>
    <n v="1.83"/>
    <n v="41.55"/>
    <n v="103"/>
  </r>
  <r>
    <x v="3"/>
    <s v="March"/>
    <x v="2"/>
    <n v="15222"/>
    <n v="38655"/>
    <n v="1182"/>
    <n v="2131.44"/>
    <n v="3.06"/>
    <n v="1.8"/>
    <n v="55.14"/>
    <n v="89"/>
  </r>
  <r>
    <x v="3"/>
    <s v="March"/>
    <x v="2"/>
    <n v="17298"/>
    <n v="35484"/>
    <n v="1480"/>
    <n v="887.81"/>
    <n v="4.17"/>
    <n v="0.6"/>
    <n v="25.02"/>
    <n v="115"/>
  </r>
  <r>
    <x v="3"/>
    <s v="March"/>
    <x v="2"/>
    <n v="11498"/>
    <n v="17437"/>
    <n v="1515"/>
    <n v="711.08"/>
    <n v="8.69"/>
    <n v="0.47"/>
    <n v="40.78"/>
    <n v="115"/>
  </r>
  <r>
    <x v="3"/>
    <s v="March"/>
    <x v="0"/>
    <n v="24401"/>
    <n v="43036"/>
    <n v="1430"/>
    <n v="2093.27"/>
    <n v="3.32"/>
    <n v="1.46"/>
    <n v="48.64"/>
    <n v="170"/>
  </r>
  <r>
    <x v="3"/>
    <s v="March"/>
    <x v="1"/>
    <n v="12957"/>
    <n v="20183"/>
    <n v="1565"/>
    <n v="1148.4100000000001"/>
    <n v="7.75"/>
    <n v="0.73"/>
    <n v="56.9"/>
    <n v="88"/>
  </r>
  <r>
    <x v="3"/>
    <s v="March"/>
    <x v="1"/>
    <n v="14882"/>
    <n v="39020"/>
    <n v="1679"/>
    <n v="2380.61"/>
    <n v="4.3"/>
    <n v="1.42"/>
    <n v="61.01"/>
    <n v="176"/>
  </r>
  <r>
    <x v="3"/>
    <s v="March"/>
    <x v="2"/>
    <n v="8966"/>
    <n v="37745"/>
    <n v="1160"/>
    <n v="1908.76"/>
    <n v="3.07"/>
    <n v="1.65"/>
    <n v="50.57"/>
    <n v="28"/>
  </r>
  <r>
    <x v="3"/>
    <s v="March"/>
    <x v="2"/>
    <n v="23544"/>
    <n v="31279"/>
    <n v="1299"/>
    <n v="1542.68"/>
    <n v="4.1500000000000004"/>
    <n v="1.19"/>
    <n v="49.32"/>
    <n v="138"/>
  </r>
  <r>
    <x v="3"/>
    <s v="March"/>
    <x v="0"/>
    <n v="16377"/>
    <n v="38746"/>
    <n v="775"/>
    <n v="1423.92"/>
    <n v="2"/>
    <n v="1.84"/>
    <n v="36.75"/>
    <n v="0"/>
  </r>
  <r>
    <x v="3"/>
    <s v="March"/>
    <x v="1"/>
    <n v="19037"/>
    <n v="35586"/>
    <n v="1273"/>
    <n v="1815.95"/>
    <n v="3.58"/>
    <n v="1.43"/>
    <n v="51.03"/>
    <n v="29"/>
  </r>
  <r>
    <x v="3"/>
    <s v="March"/>
    <x v="1"/>
    <n v="17142"/>
    <n v="24543"/>
    <n v="928"/>
    <n v="1829.93"/>
    <n v="3.78"/>
    <n v="1.97"/>
    <n v="74.56"/>
    <n v="74"/>
  </r>
  <r>
    <x v="3"/>
    <s v="March"/>
    <x v="1"/>
    <n v="21579"/>
    <n v="38661"/>
    <n v="673"/>
    <n v="2659.1"/>
    <n v="1.74"/>
    <n v="3.95"/>
    <n v="68.78"/>
    <n v="36"/>
  </r>
  <r>
    <x v="3"/>
    <s v="March"/>
    <x v="2"/>
    <n v="16181"/>
    <n v="21449"/>
    <n v="1135"/>
    <n v="736.34"/>
    <n v="5.29"/>
    <n v="0.65"/>
    <n v="34.33"/>
    <n v="43"/>
  </r>
  <r>
    <x v="3"/>
    <s v="March"/>
    <x v="2"/>
    <n v="18764"/>
    <n v="37866"/>
    <n v="967"/>
    <n v="1123.1099999999999"/>
    <n v="2.5499999999999998"/>
    <n v="1.1599999999999999"/>
    <n v="29.66"/>
    <n v="77"/>
  </r>
  <r>
    <x v="3"/>
    <s v="March"/>
    <x v="2"/>
    <n v="21062"/>
    <n v="29109"/>
    <n v="1053"/>
    <n v="1552.97"/>
    <n v="3.62"/>
    <n v="1.47"/>
    <n v="53.35"/>
    <n v="0"/>
  </r>
  <r>
    <x v="3"/>
    <s v="March"/>
    <x v="2"/>
    <n v="19205"/>
    <n v="30900"/>
    <n v="1030"/>
    <n v="1848.13"/>
    <n v="3.33"/>
    <n v="1.79"/>
    <n v="59.81"/>
    <n v="77"/>
  </r>
  <r>
    <x v="3"/>
    <s v="April"/>
    <x v="0"/>
    <n v="20064"/>
    <n v="37671"/>
    <n v="843"/>
    <n v="1636.43"/>
    <n v="2.2400000000000002"/>
    <n v="1.94"/>
    <n v="43.44"/>
    <n v="74"/>
  </r>
  <r>
    <x v="3"/>
    <s v="April"/>
    <x v="1"/>
    <n v="10013"/>
    <n v="27286"/>
    <n v="986"/>
    <n v="1910.29"/>
    <n v="3.61"/>
    <n v="1.94"/>
    <n v="70.010000000000005"/>
    <n v="117"/>
  </r>
  <r>
    <x v="3"/>
    <s v="April"/>
    <x v="1"/>
    <n v="10771"/>
    <n v="38047"/>
    <n v="896"/>
    <n v="2522.9"/>
    <n v="2.35"/>
    <n v="2.82"/>
    <n v="66.31"/>
    <n v="117"/>
  </r>
  <r>
    <x v="3"/>
    <s v="April"/>
    <x v="1"/>
    <n v="22096"/>
    <n v="39381"/>
    <n v="932"/>
    <n v="2441.62"/>
    <n v="2.37"/>
    <n v="2.62"/>
    <n v="62"/>
    <n v="117"/>
  </r>
  <r>
    <x v="3"/>
    <s v="April"/>
    <x v="0"/>
    <n v="13850"/>
    <n v="38187"/>
    <n v="1901"/>
    <n v="1426.67"/>
    <n v="4.9800000000000004"/>
    <n v="0.75"/>
    <n v="37.36"/>
    <n v="209"/>
  </r>
  <r>
    <x v="3"/>
    <s v="April"/>
    <x v="1"/>
    <n v="22634"/>
    <n v="37345"/>
    <n v="1167"/>
    <n v="1342.55"/>
    <n v="3.12"/>
    <n v="1.1499999999999999"/>
    <n v="35.950000000000003"/>
    <n v="104"/>
  </r>
  <r>
    <x v="3"/>
    <s v="April"/>
    <x v="1"/>
    <n v="20232"/>
    <n v="33437"/>
    <n v="1266"/>
    <n v="880.73"/>
    <n v="3.79"/>
    <n v="0.7"/>
    <n v="26.34"/>
    <n v="126"/>
  </r>
  <r>
    <x v="3"/>
    <s v="April"/>
    <x v="2"/>
    <n v="24414"/>
    <n v="36135"/>
    <n v="1970"/>
    <n v="1390.11"/>
    <n v="5.45"/>
    <n v="0.71"/>
    <n v="38.47"/>
    <n v="185"/>
  </r>
  <r>
    <x v="3"/>
    <s v="April"/>
    <x v="0"/>
    <n v="15561"/>
    <n v="28273"/>
    <n v="1226"/>
    <n v="1445.6"/>
    <n v="4.34"/>
    <n v="1.18"/>
    <n v="51.13"/>
    <n v="34"/>
  </r>
  <r>
    <x v="3"/>
    <s v="April"/>
    <x v="0"/>
    <n v="7839"/>
    <n v="19329"/>
    <n v="871"/>
    <n v="1386.66"/>
    <n v="4.51"/>
    <n v="1.59"/>
    <n v="71.739999999999995"/>
    <n v="104"/>
  </r>
  <r>
    <x v="3"/>
    <s v="April"/>
    <x v="1"/>
    <n v="19771"/>
    <n v="29697"/>
    <n v="1748"/>
    <n v="861.51"/>
    <n v="5.89"/>
    <n v="0.49"/>
    <n v="29.01"/>
    <n v="96"/>
  </r>
  <r>
    <x v="3"/>
    <s v="April"/>
    <x v="2"/>
    <n v="20227"/>
    <n v="35631"/>
    <n v="1694"/>
    <n v="1702.81"/>
    <n v="4.75"/>
    <n v="1.01"/>
    <n v="47.79"/>
    <n v="156"/>
  </r>
  <r>
    <x v="3"/>
    <s v="April"/>
    <x v="2"/>
    <n v="24999"/>
    <n v="43445"/>
    <n v="1565"/>
    <n v="2591.06"/>
    <n v="3.6"/>
    <n v="1.66"/>
    <n v="59.64"/>
    <n v="148"/>
  </r>
  <r>
    <x v="3"/>
    <s v="April"/>
    <x v="2"/>
    <n v="17418"/>
    <n v="33666"/>
    <n v="1720"/>
    <n v="1201.54"/>
    <n v="5.1100000000000003"/>
    <n v="0.7"/>
    <n v="35.69"/>
    <n v="156"/>
  </r>
  <r>
    <x v="3"/>
    <s v="April"/>
    <x v="0"/>
    <n v="5940"/>
    <n v="24197"/>
    <n v="1032"/>
    <n v="1531.67"/>
    <n v="4.26"/>
    <n v="1.48"/>
    <n v="63.3"/>
    <n v="75"/>
  </r>
  <r>
    <x v="3"/>
    <s v="April"/>
    <x v="1"/>
    <n v="15650"/>
    <n v="26303"/>
    <n v="1338"/>
    <n v="1372.75"/>
    <n v="5.09"/>
    <n v="1.03"/>
    <n v="52.19"/>
    <n v="156"/>
  </r>
  <r>
    <x v="3"/>
    <s v="April"/>
    <x v="2"/>
    <n v="20976"/>
    <n v="30743"/>
    <n v="807"/>
    <n v="1181.1500000000001"/>
    <n v="2.62"/>
    <n v="1.46"/>
    <n v="38.42"/>
    <n v="19"/>
  </r>
  <r>
    <x v="3"/>
    <s v="April"/>
    <x v="2"/>
    <n v="16626"/>
    <n v="30078"/>
    <n v="913"/>
    <n v="1837.16"/>
    <n v="3.04"/>
    <n v="2.0099999999999998"/>
    <n v="61.08"/>
    <n v="102"/>
  </r>
  <r>
    <x v="3"/>
    <s v="April"/>
    <x v="2"/>
    <n v="16152"/>
    <n v="30160"/>
    <n v="840"/>
    <n v="763.05"/>
    <n v="2.79"/>
    <n v="0.91"/>
    <n v="25.3"/>
    <n v="19"/>
  </r>
  <r>
    <x v="3"/>
    <s v="April"/>
    <x v="2"/>
    <n v="24534"/>
    <n v="43382"/>
    <n v="874"/>
    <n v="2876.23"/>
    <n v="2.0099999999999998"/>
    <n v="3.29"/>
    <n v="66.3"/>
    <n v="102"/>
  </r>
  <r>
    <x v="3"/>
    <s v="April"/>
    <x v="2"/>
    <n v="14052"/>
    <n v="36479"/>
    <n v="888"/>
    <n v="2456.86"/>
    <n v="2.4300000000000002"/>
    <n v="2.77"/>
    <n v="67.349999999999994"/>
    <n v="1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28D152-681E-4A3D-8A3D-4CAE17A686A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1">
    <pivotField axis="axisRow" dataField="1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Industry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3771D0-0A42-4663-8DF4-91ED268F286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1"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d Typ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C67D27-A587-4054-ABA3-7B60D33E04BE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>
  <location ref="A3:B7" firstHeaderRow="1" firstDataRow="1" firstDataCol="1"/>
  <pivotFields count="11"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>
      <x v="3"/>
    </i>
  </rowItems>
  <colItems count="1">
    <i/>
  </colItems>
  <dataFields count="1">
    <dataField name="Average of CTR (%)" fld="7" subtotal="average" baseField="0" baseItem="2"/>
  </dataFields>
  <formats count="4">
    <format dxfId="11">
      <pivotArea collapsedLevelsAreSubtotals="1" fieldPosition="0">
        <references count="1">
          <reference field="0" count="1">
            <x v="2"/>
          </reference>
        </references>
      </pivotArea>
    </format>
    <format dxfId="10">
      <pivotArea collapsedLevelsAreSubtotals="1" fieldPosition="0">
        <references count="1">
          <reference field="0" count="1">
            <x v="0"/>
          </reference>
        </references>
      </pivotArea>
    </format>
    <format dxfId="9">
      <pivotArea collapsedLevelsAreSubtotals="1" fieldPosition="0">
        <references count="1">
          <reference field="0" count="1">
            <x v="1"/>
          </reference>
        </references>
      </pivotArea>
    </format>
    <format dxfId="8">
      <pivotArea collapsedLevelsAreSubtotals="1" fieldPosition="0">
        <references count="1">
          <reference field="0" count="1">
            <x v="3"/>
          </reference>
        </references>
      </pivotArea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3D99F2-B4BF-4FBA-8674-59C9482386DB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>
  <location ref="A3:B7" firstHeaderRow="1" firstDataRow="1" firstDataCol="1"/>
  <pivotFields count="11"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4">
    <i>
      <x/>
    </i>
    <i>
      <x v="1"/>
    </i>
    <i>
      <x v="2"/>
    </i>
    <i>
      <x v="3"/>
    </i>
  </rowItems>
  <colItems count="1">
    <i/>
  </colItems>
  <dataFields count="1">
    <dataField name="Average of Conversions" fld="10" subtotal="average" baseField="0" baseItem="0"/>
  </dataFields>
  <formats count="1">
    <format dxfId="7">
      <pivotArea collapsedLevelsAreSubtotals="1" fieldPosition="0">
        <references count="1">
          <reference field="0" count="0"/>
        </references>
      </pivotArea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4BF1AE-3297-41F5-B5B0-899276683CD3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>
  <location ref="A3:B6" firstHeaderRow="1" firstDataRow="1" firstDataCol="1"/>
  <pivotFields count="11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3">
    <i>
      <x/>
    </i>
    <i>
      <x v="1"/>
    </i>
    <i>
      <x v="2"/>
    </i>
  </rowItems>
  <colItems count="1">
    <i/>
  </colItems>
  <dataFields count="1">
    <dataField name="Average of CTR (%)" fld="7" subtotal="average" baseField="2" baseItem="0"/>
  </dataFields>
  <formats count="3">
    <format dxfId="6">
      <pivotArea collapsedLevelsAreSubtotals="1" fieldPosition="0">
        <references count="1">
          <reference field="2" count="1">
            <x v="0"/>
          </reference>
        </references>
      </pivotArea>
    </format>
    <format dxfId="5">
      <pivotArea collapsedLevelsAreSubtotals="1" fieldPosition="0">
        <references count="1">
          <reference field="2" count="1">
            <x v="1"/>
          </reference>
        </references>
      </pivotArea>
    </format>
    <format dxfId="4">
      <pivotArea collapsedLevelsAreSubtotals="1" fieldPosition="0">
        <references count="1">
          <reference field="2" count="1">
            <x v="2"/>
          </reference>
        </references>
      </pivotArea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0C5EB2-46C8-48F1-93B2-0D3E533F76C3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>
  <location ref="A3:B6" firstHeaderRow="1" firstDataRow="1" firstDataCol="1"/>
  <pivotFields count="11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3">
    <i>
      <x/>
    </i>
    <i>
      <x v="1"/>
    </i>
    <i>
      <x v="2"/>
    </i>
  </rowItems>
  <colItems count="1">
    <i/>
  </colItems>
  <dataFields count="1">
    <dataField name="Average of Conversions" fld="10" subtotal="average" baseField="2" baseItem="2"/>
  </dataFields>
  <formats count="3">
    <format dxfId="3">
      <pivotArea collapsedLevelsAreSubtotals="1" fieldPosition="0">
        <references count="1">
          <reference field="2" count="1">
            <x v="1"/>
          </reference>
        </references>
      </pivotArea>
    </format>
    <format dxfId="2">
      <pivotArea collapsedLevelsAreSubtotals="1" fieldPosition="0">
        <references count="1">
          <reference field="2" count="1">
            <x v="2"/>
          </reference>
        </references>
      </pivotArea>
    </format>
    <format dxfId="1">
      <pivotArea collapsedLevelsAreSubtotals="1" fieldPosition="0">
        <references count="1">
          <reference field="2" count="1">
            <x v="0"/>
          </reference>
        </references>
      </pivotArea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9F9BD-71ED-40F6-8958-CBBAC344B1E6}">
  <dimension ref="A3:B8"/>
  <sheetViews>
    <sheetView workbookViewId="0">
      <selection activeCell="A3" sqref="A3"/>
    </sheetView>
  </sheetViews>
  <sheetFormatPr defaultRowHeight="14.5" x14ac:dyDescent="0.35"/>
  <cols>
    <col min="1" max="1" width="16.453125" bestFit="1" customWidth="1"/>
    <col min="2" max="2" width="15.6328125" bestFit="1" customWidth="1"/>
  </cols>
  <sheetData>
    <row r="3" spans="1:2" x14ac:dyDescent="0.35">
      <c r="A3" s="1" t="s">
        <v>22</v>
      </c>
      <c r="B3" t="s">
        <v>24</v>
      </c>
    </row>
    <row r="4" spans="1:2" x14ac:dyDescent="0.35">
      <c r="A4" s="2" t="s">
        <v>12</v>
      </c>
      <c r="B4">
        <v>83</v>
      </c>
    </row>
    <row r="5" spans="1:2" x14ac:dyDescent="0.35">
      <c r="A5" s="2" t="s">
        <v>11</v>
      </c>
      <c r="B5">
        <v>92</v>
      </c>
    </row>
    <row r="6" spans="1:2" x14ac:dyDescent="0.35">
      <c r="A6" s="2" t="s">
        <v>14</v>
      </c>
      <c r="B6">
        <v>103</v>
      </c>
    </row>
    <row r="7" spans="1:2" x14ac:dyDescent="0.35">
      <c r="A7" s="2" t="s">
        <v>13</v>
      </c>
      <c r="B7">
        <v>74</v>
      </c>
    </row>
    <row r="8" spans="1:2" x14ac:dyDescent="0.35">
      <c r="A8" s="2" t="s">
        <v>23</v>
      </c>
      <c r="B8">
        <v>352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BD21A-61A3-4C4B-845A-F083DBAAA67A}">
  <dimension ref="A3:B7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5.36328125" bestFit="1" customWidth="1"/>
  </cols>
  <sheetData>
    <row r="3" spans="1:2" x14ac:dyDescent="0.35">
      <c r="A3" s="1" t="s">
        <v>22</v>
      </c>
      <c r="B3" t="s">
        <v>25</v>
      </c>
    </row>
    <row r="4" spans="1:2" x14ac:dyDescent="0.35">
      <c r="A4" s="2" t="s">
        <v>21</v>
      </c>
      <c r="B4">
        <v>96</v>
      </c>
    </row>
    <row r="5" spans="1:2" x14ac:dyDescent="0.35">
      <c r="A5" s="2" t="s">
        <v>19</v>
      </c>
      <c r="B5">
        <v>94</v>
      </c>
    </row>
    <row r="6" spans="1:2" x14ac:dyDescent="0.35">
      <c r="A6" s="2" t="s">
        <v>20</v>
      </c>
      <c r="B6">
        <v>162</v>
      </c>
    </row>
    <row r="7" spans="1:2" x14ac:dyDescent="0.35">
      <c r="A7" s="2" t="s">
        <v>23</v>
      </c>
      <c r="B7">
        <v>352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3E753-5EFA-4CD4-B00B-F489BABA1180}">
  <dimension ref="A1:C9"/>
  <sheetViews>
    <sheetView workbookViewId="0">
      <selection activeCell="F11" sqref="F11"/>
    </sheetView>
  </sheetViews>
  <sheetFormatPr defaultRowHeight="14.5" x14ac:dyDescent="0.35"/>
  <cols>
    <col min="1" max="1" width="12.7265625" bestFit="1" customWidth="1"/>
  </cols>
  <sheetData>
    <row r="1" spans="1:3" x14ac:dyDescent="0.35">
      <c r="A1" t="s">
        <v>28</v>
      </c>
      <c r="B1" s="3" t="s">
        <v>26</v>
      </c>
      <c r="C1" s="3" t="s">
        <v>27</v>
      </c>
    </row>
    <row r="2" spans="1:3" x14ac:dyDescent="0.35">
      <c r="A2" t="s">
        <v>3</v>
      </c>
      <c r="B2">
        <f>MIN(Sheet1!D:D)</f>
        <v>5635</v>
      </c>
      <c r="C2">
        <f>MAX(Sheet1!D:D)</f>
        <v>24999</v>
      </c>
    </row>
    <row r="3" spans="1:3" x14ac:dyDescent="0.35">
      <c r="A3" t="s">
        <v>4</v>
      </c>
      <c r="B3">
        <f>MIN(Sheet1!E:E)</f>
        <v>13029</v>
      </c>
      <c r="C3">
        <f>MAX(Sheet1!E:E)</f>
        <v>44621</v>
      </c>
    </row>
    <row r="4" spans="1:3" x14ac:dyDescent="0.35">
      <c r="A4" t="s">
        <v>5</v>
      </c>
      <c r="B4">
        <f>MIN(Sheet1!F:F)</f>
        <v>165</v>
      </c>
      <c r="C4">
        <f>MAX(Sheet1!F:F)</f>
        <v>1970</v>
      </c>
    </row>
    <row r="5" spans="1:3" x14ac:dyDescent="0.35">
      <c r="A5" t="s">
        <v>29</v>
      </c>
      <c r="B5">
        <f>MIN(Sheet1!G:G)</f>
        <v>664.74</v>
      </c>
      <c r="C5">
        <f>MAX(Sheet1!G:G)</f>
        <v>7737.24</v>
      </c>
    </row>
    <row r="6" spans="1:3" x14ac:dyDescent="0.35">
      <c r="A6" t="s">
        <v>30</v>
      </c>
      <c r="B6">
        <f>MIN(Sheet1!H:H)</f>
        <v>0.50910212897253937</v>
      </c>
      <c r="C6">
        <f>MAX(Sheet1!H:H)</f>
        <v>9.3665641283194176</v>
      </c>
    </row>
    <row r="7" spans="1:3" x14ac:dyDescent="0.35">
      <c r="A7" t="s">
        <v>31</v>
      </c>
      <c r="B7">
        <f>MIN(Sheet1!I:I)</f>
        <v>0.46935973597359737</v>
      </c>
      <c r="C7">
        <f>MAX(Sheet1!I:I)</f>
        <v>40.985119047619051</v>
      </c>
    </row>
    <row r="8" spans="1:3" x14ac:dyDescent="0.35">
      <c r="A8" t="s">
        <v>32</v>
      </c>
      <c r="B8">
        <f>MIN(Sheet1!J:J)</f>
        <v>25.020009018149022</v>
      </c>
      <c r="C8">
        <f>MAX(Sheet1!J:J)</f>
        <v>249.77020047273047</v>
      </c>
    </row>
    <row r="9" spans="1:3" x14ac:dyDescent="0.35">
      <c r="A9" t="s">
        <v>10</v>
      </c>
      <c r="B9">
        <f>MIN(Sheet1!K:K)</f>
        <v>0</v>
      </c>
      <c r="C9">
        <f>MAX(Sheet1!K:K)</f>
        <v>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3"/>
  <sheetViews>
    <sheetView tabSelected="1" topLeftCell="A338" workbookViewId="0">
      <selection activeCell="M353" sqref="M353"/>
    </sheetView>
  </sheetViews>
  <sheetFormatPr defaultRowHeight="14.5" x14ac:dyDescent="0.35"/>
  <cols>
    <col min="1" max="1" width="16.453125" bestFit="1" customWidth="1"/>
    <col min="2" max="2" width="8.26953125" bestFit="1" customWidth="1"/>
    <col min="3" max="3" width="8.08984375" bestFit="1" customWidth="1"/>
    <col min="4" max="4" width="5.81640625" bestFit="1" customWidth="1"/>
    <col min="5" max="5" width="10.90625" bestFit="1" customWidth="1"/>
    <col min="6" max="6" width="5.453125" bestFit="1" customWidth="1"/>
    <col min="7" max="7" width="17.81640625" customWidth="1"/>
    <col min="8" max="8" width="7.1796875" bestFit="1" customWidth="1"/>
    <col min="10" max="10" width="9.36328125" bestFit="1" customWidth="1"/>
    <col min="11" max="11" width="11" bestFit="1" customWidth="1"/>
  </cols>
  <sheetData>
    <row r="1" spans="1:1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t="s">
        <v>11</v>
      </c>
      <c r="B2" t="s">
        <v>15</v>
      </c>
      <c r="C2" t="s">
        <v>21</v>
      </c>
      <c r="D2">
        <v>17763</v>
      </c>
      <c r="E2">
        <v>30759</v>
      </c>
      <c r="F2">
        <v>759</v>
      </c>
      <c r="G2">
        <v>1619.77</v>
      </c>
      <c r="H2" s="4">
        <f>F2/E2*100</f>
        <v>2.4675704671803373</v>
      </c>
      <c r="I2" s="4">
        <f>G2/F2</f>
        <v>2.1340843214756258</v>
      </c>
      <c r="J2" s="4">
        <f>G2/E2*1000</f>
        <v>52.660034461458437</v>
      </c>
      <c r="K2">
        <v>82</v>
      </c>
    </row>
    <row r="3" spans="1:11" x14ac:dyDescent="0.35">
      <c r="A3" t="s">
        <v>11</v>
      </c>
      <c r="B3" t="s">
        <v>15</v>
      </c>
      <c r="C3" t="s">
        <v>19</v>
      </c>
      <c r="D3">
        <v>16669</v>
      </c>
      <c r="E3">
        <v>25788</v>
      </c>
      <c r="F3">
        <v>812</v>
      </c>
      <c r="G3">
        <v>2490.35</v>
      </c>
      <c r="H3" s="4">
        <f t="shared" ref="H3:H66" si="0">F3/E3*100</f>
        <v>3.1487513572204127</v>
      </c>
      <c r="I3" s="4">
        <f t="shared" ref="I3:I66" si="1">G3/F3</f>
        <v>3.0669334975369456</v>
      </c>
      <c r="J3" s="4">
        <f t="shared" ref="J3:J66" si="2">G3/E3*1000</f>
        <v>96.570110128742044</v>
      </c>
      <c r="K3">
        <v>46</v>
      </c>
    </row>
    <row r="4" spans="1:11" x14ac:dyDescent="0.35">
      <c r="A4" t="s">
        <v>11</v>
      </c>
      <c r="B4" t="s">
        <v>15</v>
      </c>
      <c r="C4" t="s">
        <v>19</v>
      </c>
      <c r="D4">
        <v>17064</v>
      </c>
      <c r="E4">
        <v>22371</v>
      </c>
      <c r="F4">
        <v>1013</v>
      </c>
      <c r="G4">
        <v>2071.11</v>
      </c>
      <c r="H4" s="4">
        <f t="shared" si="0"/>
        <v>4.5281838093960936</v>
      </c>
      <c r="I4" s="4">
        <f t="shared" si="1"/>
        <v>2.0445310957551825</v>
      </c>
      <c r="J4" s="4">
        <f t="shared" si="2"/>
        <v>92.580126056054709</v>
      </c>
      <c r="K4">
        <v>113</v>
      </c>
    </row>
    <row r="5" spans="1:11" x14ac:dyDescent="0.35">
      <c r="A5" t="s">
        <v>11</v>
      </c>
      <c r="B5" t="s">
        <v>15</v>
      </c>
      <c r="C5" t="s">
        <v>19</v>
      </c>
      <c r="D5">
        <v>19145</v>
      </c>
      <c r="E5">
        <v>26764</v>
      </c>
      <c r="F5">
        <v>1057</v>
      </c>
      <c r="G5">
        <v>1575.86</v>
      </c>
      <c r="H5" s="4">
        <f t="shared" si="0"/>
        <v>3.9493349275145717</v>
      </c>
      <c r="I5" s="4">
        <f t="shared" si="1"/>
        <v>1.4908798486281929</v>
      </c>
      <c r="J5" s="4">
        <f t="shared" si="2"/>
        <v>58.8798385891496</v>
      </c>
      <c r="K5">
        <v>48</v>
      </c>
    </row>
    <row r="6" spans="1:11" x14ac:dyDescent="0.35">
      <c r="A6" t="s">
        <v>11</v>
      </c>
      <c r="B6" t="s">
        <v>15</v>
      </c>
      <c r="C6" t="s">
        <v>19</v>
      </c>
      <c r="D6">
        <v>19169</v>
      </c>
      <c r="E6">
        <v>33716</v>
      </c>
      <c r="F6">
        <v>970</v>
      </c>
      <c r="G6">
        <v>2674.69</v>
      </c>
      <c r="H6" s="4">
        <f t="shared" si="0"/>
        <v>2.8769723573377624</v>
      </c>
      <c r="I6" s="4">
        <f t="shared" si="1"/>
        <v>2.7574123711340208</v>
      </c>
      <c r="J6" s="4">
        <f t="shared" si="2"/>
        <v>79.329991695337526</v>
      </c>
      <c r="K6">
        <v>72</v>
      </c>
    </row>
    <row r="7" spans="1:11" x14ac:dyDescent="0.35">
      <c r="A7" t="s">
        <v>11</v>
      </c>
      <c r="B7" t="s">
        <v>15</v>
      </c>
      <c r="C7" t="s">
        <v>21</v>
      </c>
      <c r="D7">
        <v>20302</v>
      </c>
      <c r="E7">
        <v>30763</v>
      </c>
      <c r="F7">
        <v>627</v>
      </c>
      <c r="G7">
        <v>1960.83</v>
      </c>
      <c r="H7" s="4">
        <f t="shared" si="0"/>
        <v>2.0381627279524106</v>
      </c>
      <c r="I7" s="4">
        <f t="shared" si="1"/>
        <v>3.1273205741626793</v>
      </c>
      <c r="J7" s="4">
        <f t="shared" si="2"/>
        <v>63.739882326171049</v>
      </c>
      <c r="K7">
        <v>61</v>
      </c>
    </row>
    <row r="8" spans="1:11" x14ac:dyDescent="0.35">
      <c r="A8" t="s">
        <v>11</v>
      </c>
      <c r="B8" t="s">
        <v>15</v>
      </c>
      <c r="C8" t="s">
        <v>19</v>
      </c>
      <c r="D8">
        <v>15123</v>
      </c>
      <c r="E8">
        <v>22250</v>
      </c>
      <c r="F8">
        <v>1033</v>
      </c>
      <c r="G8">
        <v>1243.55</v>
      </c>
      <c r="H8" s="4">
        <f t="shared" si="0"/>
        <v>4.642696629213483</v>
      </c>
      <c r="I8" s="4">
        <f t="shared" si="1"/>
        <v>1.2038238141335915</v>
      </c>
      <c r="J8" s="4">
        <f t="shared" si="2"/>
        <v>55.889887640449437</v>
      </c>
      <c r="K8">
        <v>85</v>
      </c>
    </row>
    <row r="9" spans="1:11" x14ac:dyDescent="0.35">
      <c r="A9" t="s">
        <v>11</v>
      </c>
      <c r="B9" t="s">
        <v>15</v>
      </c>
      <c r="C9" t="s">
        <v>19</v>
      </c>
      <c r="D9">
        <v>19830</v>
      </c>
      <c r="E9">
        <v>30094</v>
      </c>
      <c r="F9">
        <v>731</v>
      </c>
      <c r="G9">
        <v>2217.33</v>
      </c>
      <c r="H9" s="4">
        <f t="shared" si="0"/>
        <v>2.4290556257061207</v>
      </c>
      <c r="I9" s="4">
        <f t="shared" si="1"/>
        <v>3.0332831737346102</v>
      </c>
      <c r="J9" s="4">
        <f t="shared" si="2"/>
        <v>73.68013557519771</v>
      </c>
      <c r="K9">
        <v>72</v>
      </c>
    </row>
    <row r="10" spans="1:11" x14ac:dyDescent="0.35">
      <c r="A10" t="s">
        <v>11</v>
      </c>
      <c r="B10" t="s">
        <v>15</v>
      </c>
      <c r="C10" t="s">
        <v>19</v>
      </c>
      <c r="D10">
        <v>16201</v>
      </c>
      <c r="E10">
        <v>33544</v>
      </c>
      <c r="F10">
        <v>941</v>
      </c>
      <c r="G10">
        <v>1870.41</v>
      </c>
      <c r="H10" s="4">
        <f t="shared" si="0"/>
        <v>2.805270689243978</v>
      </c>
      <c r="I10" s="4">
        <f t="shared" si="1"/>
        <v>1.9876833156216791</v>
      </c>
      <c r="J10" s="4">
        <f t="shared" si="2"/>
        <v>55.759897448127838</v>
      </c>
      <c r="K10">
        <v>39</v>
      </c>
    </row>
    <row r="11" spans="1:11" x14ac:dyDescent="0.35">
      <c r="A11" t="s">
        <v>11</v>
      </c>
      <c r="B11" t="s">
        <v>15</v>
      </c>
      <c r="C11" t="s">
        <v>19</v>
      </c>
      <c r="D11">
        <v>10927</v>
      </c>
      <c r="E11">
        <v>30840</v>
      </c>
      <c r="F11">
        <v>918</v>
      </c>
      <c r="G11">
        <v>2315.4699999999998</v>
      </c>
      <c r="H11" s="4">
        <f t="shared" si="0"/>
        <v>2.9766536964980541</v>
      </c>
      <c r="I11" s="4">
        <f t="shared" si="1"/>
        <v>2.5222984749455337</v>
      </c>
      <c r="J11" s="4">
        <f t="shared" si="2"/>
        <v>75.080090791180282</v>
      </c>
      <c r="K11">
        <v>89</v>
      </c>
    </row>
    <row r="12" spans="1:11" x14ac:dyDescent="0.35">
      <c r="A12" t="s">
        <v>11</v>
      </c>
      <c r="B12" t="s">
        <v>15</v>
      </c>
      <c r="C12" t="s">
        <v>21</v>
      </c>
      <c r="D12">
        <v>9743</v>
      </c>
      <c r="E12">
        <v>33154</v>
      </c>
      <c r="F12">
        <v>838</v>
      </c>
      <c r="G12">
        <v>3112.17</v>
      </c>
      <c r="H12" s="4">
        <f t="shared" si="0"/>
        <v>2.5275984798214393</v>
      </c>
      <c r="I12" s="4">
        <f t="shared" si="1"/>
        <v>3.7138066825775655</v>
      </c>
      <c r="J12" s="4">
        <f t="shared" si="2"/>
        <v>93.870121252337583</v>
      </c>
      <c r="K12">
        <v>38</v>
      </c>
    </row>
    <row r="13" spans="1:11" x14ac:dyDescent="0.35">
      <c r="A13" t="s">
        <v>11</v>
      </c>
      <c r="B13" t="s">
        <v>15</v>
      </c>
      <c r="C13" t="s">
        <v>19</v>
      </c>
      <c r="D13">
        <v>12889</v>
      </c>
      <c r="E13">
        <v>33390</v>
      </c>
      <c r="F13">
        <v>994</v>
      </c>
      <c r="G13">
        <v>2135.62</v>
      </c>
      <c r="H13" s="4">
        <f t="shared" si="0"/>
        <v>2.9769392033542976</v>
      </c>
      <c r="I13" s="4">
        <f t="shared" si="1"/>
        <v>2.1485110663983904</v>
      </c>
      <c r="J13" s="4">
        <f t="shared" si="2"/>
        <v>63.959868224019168</v>
      </c>
      <c r="K13">
        <v>80</v>
      </c>
    </row>
    <row r="14" spans="1:11" x14ac:dyDescent="0.35">
      <c r="A14" t="s">
        <v>11</v>
      </c>
      <c r="B14" t="s">
        <v>15</v>
      </c>
      <c r="C14" t="s">
        <v>19</v>
      </c>
      <c r="D14">
        <v>17977</v>
      </c>
      <c r="E14">
        <v>26628</v>
      </c>
      <c r="F14">
        <v>1073</v>
      </c>
      <c r="G14">
        <v>1415.54</v>
      </c>
      <c r="H14" s="4">
        <f t="shared" si="0"/>
        <v>4.029592909719093</v>
      </c>
      <c r="I14" s="4">
        <f t="shared" si="1"/>
        <v>1.3192357875116496</v>
      </c>
      <c r="J14" s="4">
        <f t="shared" si="2"/>
        <v>53.159831756046266</v>
      </c>
      <c r="K14">
        <v>80</v>
      </c>
    </row>
    <row r="15" spans="1:11" x14ac:dyDescent="0.35">
      <c r="A15" t="s">
        <v>11</v>
      </c>
      <c r="B15" t="s">
        <v>15</v>
      </c>
      <c r="C15" t="s">
        <v>19</v>
      </c>
      <c r="D15">
        <v>10504</v>
      </c>
      <c r="E15">
        <v>25907</v>
      </c>
      <c r="F15">
        <v>1017</v>
      </c>
      <c r="G15">
        <v>2586.81</v>
      </c>
      <c r="H15" s="4">
        <f t="shared" si="0"/>
        <v>3.9255799590844171</v>
      </c>
      <c r="I15" s="4">
        <f t="shared" si="1"/>
        <v>2.5435693215339232</v>
      </c>
      <c r="J15" s="4">
        <f t="shared" si="2"/>
        <v>99.849847531555184</v>
      </c>
      <c r="K15">
        <v>38</v>
      </c>
    </row>
    <row r="16" spans="1:11" x14ac:dyDescent="0.35">
      <c r="A16" t="s">
        <v>11</v>
      </c>
      <c r="B16" t="s">
        <v>15</v>
      </c>
      <c r="C16" t="s">
        <v>19</v>
      </c>
      <c r="D16">
        <v>20492</v>
      </c>
      <c r="E16">
        <v>29285</v>
      </c>
      <c r="F16">
        <v>1257</v>
      </c>
      <c r="G16">
        <v>2066.64</v>
      </c>
      <c r="H16" s="4">
        <f t="shared" si="0"/>
        <v>4.2922998121905414</v>
      </c>
      <c r="I16" s="4">
        <f t="shared" si="1"/>
        <v>1.6441050119331742</v>
      </c>
      <c r="J16" s="4">
        <f t="shared" si="2"/>
        <v>70.569916339422903</v>
      </c>
      <c r="K16">
        <v>134</v>
      </c>
    </row>
    <row r="17" spans="1:11" x14ac:dyDescent="0.35">
      <c r="A17" t="s">
        <v>11</v>
      </c>
      <c r="B17" t="s">
        <v>15</v>
      </c>
      <c r="C17" t="s">
        <v>19</v>
      </c>
      <c r="D17">
        <v>16837</v>
      </c>
      <c r="E17">
        <v>34645</v>
      </c>
      <c r="F17">
        <v>824</v>
      </c>
      <c r="G17">
        <v>1574.62</v>
      </c>
      <c r="H17" s="4">
        <f t="shared" si="0"/>
        <v>2.3784095829123975</v>
      </c>
      <c r="I17" s="4">
        <f t="shared" si="1"/>
        <v>1.9109466019417474</v>
      </c>
      <c r="J17" s="4">
        <f t="shared" si="2"/>
        <v>45.450137104921346</v>
      </c>
      <c r="K17">
        <v>52</v>
      </c>
    </row>
    <row r="18" spans="1:11" x14ac:dyDescent="0.35">
      <c r="A18" t="s">
        <v>11</v>
      </c>
      <c r="B18" t="s">
        <v>15</v>
      </c>
      <c r="C18" t="s">
        <v>19</v>
      </c>
      <c r="D18">
        <v>16689</v>
      </c>
      <c r="E18">
        <v>21704</v>
      </c>
      <c r="F18">
        <v>827</v>
      </c>
      <c r="G18">
        <v>929.58</v>
      </c>
      <c r="H18" s="4">
        <f t="shared" si="0"/>
        <v>3.8103575377810541</v>
      </c>
      <c r="I18" s="4">
        <f t="shared" si="1"/>
        <v>1.1240386940749698</v>
      </c>
      <c r="J18" s="4">
        <f t="shared" si="2"/>
        <v>42.829893107261341</v>
      </c>
      <c r="K18">
        <v>41</v>
      </c>
    </row>
    <row r="19" spans="1:11" x14ac:dyDescent="0.35">
      <c r="A19" t="s">
        <v>11</v>
      </c>
      <c r="B19" t="s">
        <v>15</v>
      </c>
      <c r="C19" t="s">
        <v>19</v>
      </c>
      <c r="D19">
        <v>17813</v>
      </c>
      <c r="E19">
        <v>28466</v>
      </c>
      <c r="F19">
        <v>1264</v>
      </c>
      <c r="G19">
        <v>1325.95</v>
      </c>
      <c r="H19" s="4">
        <f t="shared" si="0"/>
        <v>4.4403850207264801</v>
      </c>
      <c r="I19" s="4">
        <f t="shared" si="1"/>
        <v>1.0490110759493672</v>
      </c>
      <c r="J19" s="4">
        <f t="shared" si="2"/>
        <v>46.580130682217387</v>
      </c>
      <c r="K19">
        <v>4</v>
      </c>
    </row>
    <row r="20" spans="1:11" x14ac:dyDescent="0.35">
      <c r="A20" t="s">
        <v>11</v>
      </c>
      <c r="B20" t="s">
        <v>15</v>
      </c>
      <c r="C20" t="s">
        <v>19</v>
      </c>
      <c r="D20">
        <v>16005</v>
      </c>
      <c r="E20">
        <v>21125</v>
      </c>
      <c r="F20">
        <v>1155</v>
      </c>
      <c r="G20">
        <v>1640.36</v>
      </c>
      <c r="H20" s="4">
        <f t="shared" si="0"/>
        <v>5.4674556213017746</v>
      </c>
      <c r="I20" s="4">
        <f t="shared" si="1"/>
        <v>1.4202251082251081</v>
      </c>
      <c r="J20" s="4">
        <f t="shared" si="2"/>
        <v>77.650177514792887</v>
      </c>
      <c r="K20">
        <v>85</v>
      </c>
    </row>
    <row r="21" spans="1:11" x14ac:dyDescent="0.35">
      <c r="A21" t="s">
        <v>11</v>
      </c>
      <c r="B21" t="s">
        <v>15</v>
      </c>
      <c r="C21" t="s">
        <v>19</v>
      </c>
      <c r="D21">
        <v>9832</v>
      </c>
      <c r="E21">
        <v>24675</v>
      </c>
      <c r="F21">
        <v>999</v>
      </c>
      <c r="G21">
        <v>2159.56</v>
      </c>
      <c r="H21" s="4">
        <f t="shared" si="0"/>
        <v>4.0486322188449853</v>
      </c>
      <c r="I21" s="4">
        <f t="shared" si="1"/>
        <v>2.1617217217217215</v>
      </c>
      <c r="J21" s="4">
        <f t="shared" si="2"/>
        <v>87.520162107396146</v>
      </c>
      <c r="K21">
        <v>76</v>
      </c>
    </row>
    <row r="22" spans="1:11" x14ac:dyDescent="0.35">
      <c r="A22" t="s">
        <v>11</v>
      </c>
      <c r="B22" t="s">
        <v>15</v>
      </c>
      <c r="C22" t="s">
        <v>19</v>
      </c>
      <c r="D22">
        <v>21626</v>
      </c>
      <c r="E22">
        <v>33151</v>
      </c>
      <c r="F22">
        <v>1269</v>
      </c>
      <c r="G22">
        <v>2165.75</v>
      </c>
      <c r="H22" s="4">
        <f t="shared" si="0"/>
        <v>3.8279388253748001</v>
      </c>
      <c r="I22" s="4">
        <f t="shared" si="1"/>
        <v>1.7066587864460205</v>
      </c>
      <c r="J22" s="4">
        <f t="shared" si="2"/>
        <v>65.329854303037621</v>
      </c>
      <c r="K22">
        <v>85</v>
      </c>
    </row>
    <row r="23" spans="1:11" x14ac:dyDescent="0.35">
      <c r="A23" t="s">
        <v>11</v>
      </c>
      <c r="B23" t="s">
        <v>16</v>
      </c>
      <c r="C23" t="s">
        <v>21</v>
      </c>
      <c r="D23">
        <v>11923</v>
      </c>
      <c r="E23">
        <v>17397</v>
      </c>
      <c r="F23">
        <v>844</v>
      </c>
      <c r="G23">
        <v>762.16</v>
      </c>
      <c r="H23" s="4">
        <f t="shared" si="0"/>
        <v>4.851411162844169</v>
      </c>
      <c r="I23" s="4">
        <f t="shared" si="1"/>
        <v>0.90303317535545025</v>
      </c>
      <c r="J23" s="4">
        <f t="shared" si="2"/>
        <v>43.809852273380464</v>
      </c>
      <c r="K23">
        <v>66</v>
      </c>
    </row>
    <row r="24" spans="1:11" x14ac:dyDescent="0.35">
      <c r="A24" t="s">
        <v>11</v>
      </c>
      <c r="B24" t="s">
        <v>16</v>
      </c>
      <c r="C24" t="s">
        <v>19</v>
      </c>
      <c r="D24">
        <v>11946</v>
      </c>
      <c r="E24">
        <v>34120</v>
      </c>
      <c r="F24">
        <v>739</v>
      </c>
      <c r="G24">
        <v>2146.15</v>
      </c>
      <c r="H24" s="4">
        <f t="shared" si="0"/>
        <v>2.1658851113716295</v>
      </c>
      <c r="I24" s="4">
        <f t="shared" si="1"/>
        <v>2.9041271989174562</v>
      </c>
      <c r="J24" s="4">
        <f t="shared" si="2"/>
        <v>62.900058616647129</v>
      </c>
      <c r="K24">
        <v>71</v>
      </c>
    </row>
    <row r="25" spans="1:11" x14ac:dyDescent="0.35">
      <c r="A25" t="s">
        <v>11</v>
      </c>
      <c r="B25" t="s">
        <v>16</v>
      </c>
      <c r="C25" t="s">
        <v>19</v>
      </c>
      <c r="D25">
        <v>9290</v>
      </c>
      <c r="E25">
        <v>14883</v>
      </c>
      <c r="F25">
        <v>782</v>
      </c>
      <c r="G25">
        <v>1484.88</v>
      </c>
      <c r="H25" s="4">
        <f t="shared" si="0"/>
        <v>5.2543170059799769</v>
      </c>
      <c r="I25" s="4">
        <f t="shared" si="1"/>
        <v>1.8988235294117648</v>
      </c>
      <c r="J25" s="4">
        <f t="shared" si="2"/>
        <v>99.770207619431574</v>
      </c>
      <c r="K25">
        <v>0</v>
      </c>
    </row>
    <row r="26" spans="1:11" x14ac:dyDescent="0.35">
      <c r="A26" t="s">
        <v>11</v>
      </c>
      <c r="B26" t="s">
        <v>16</v>
      </c>
      <c r="C26" t="s">
        <v>20</v>
      </c>
      <c r="D26">
        <v>19991</v>
      </c>
      <c r="E26">
        <v>33950</v>
      </c>
      <c r="F26">
        <v>674</v>
      </c>
      <c r="G26">
        <v>2435.91</v>
      </c>
      <c r="H26" s="4">
        <f t="shared" si="0"/>
        <v>1.9852724594992637</v>
      </c>
      <c r="I26" s="4">
        <f t="shared" si="1"/>
        <v>3.6141097922848662</v>
      </c>
      <c r="J26" s="4">
        <f t="shared" si="2"/>
        <v>71.749926362297487</v>
      </c>
      <c r="K26">
        <v>39</v>
      </c>
    </row>
    <row r="27" spans="1:11" x14ac:dyDescent="0.35">
      <c r="A27" t="s">
        <v>11</v>
      </c>
      <c r="B27" t="s">
        <v>16</v>
      </c>
      <c r="C27" t="s">
        <v>20</v>
      </c>
      <c r="D27">
        <v>21369</v>
      </c>
      <c r="E27">
        <v>28912</v>
      </c>
      <c r="F27">
        <v>576</v>
      </c>
      <c r="G27">
        <v>2840.89</v>
      </c>
      <c r="H27" s="4">
        <f t="shared" si="0"/>
        <v>1.9922523519645821</v>
      </c>
      <c r="I27" s="4">
        <f t="shared" si="1"/>
        <v>4.9321006944444443</v>
      </c>
      <c r="J27" s="4">
        <f t="shared" si="2"/>
        <v>98.259892086330936</v>
      </c>
      <c r="K27">
        <v>0</v>
      </c>
    </row>
    <row r="28" spans="1:11" x14ac:dyDescent="0.35">
      <c r="A28" t="s">
        <v>11</v>
      </c>
      <c r="B28" t="s">
        <v>16</v>
      </c>
      <c r="C28" t="s">
        <v>20</v>
      </c>
      <c r="D28">
        <v>20461</v>
      </c>
      <c r="E28">
        <v>35326</v>
      </c>
      <c r="F28">
        <v>815</v>
      </c>
      <c r="G28">
        <v>3237.63</v>
      </c>
      <c r="H28" s="4">
        <f t="shared" si="0"/>
        <v>2.3070826020494821</v>
      </c>
      <c r="I28" s="4">
        <f t="shared" si="1"/>
        <v>3.9725521472392638</v>
      </c>
      <c r="J28" s="4">
        <f t="shared" si="2"/>
        <v>91.65005944630019</v>
      </c>
      <c r="K28">
        <v>59</v>
      </c>
    </row>
    <row r="29" spans="1:11" x14ac:dyDescent="0.35">
      <c r="A29" t="s">
        <v>11</v>
      </c>
      <c r="B29" t="s">
        <v>16</v>
      </c>
      <c r="C29" t="s">
        <v>21</v>
      </c>
      <c r="D29">
        <v>20547</v>
      </c>
      <c r="E29">
        <v>28771</v>
      </c>
      <c r="F29">
        <v>755</v>
      </c>
      <c r="G29">
        <v>1170.69</v>
      </c>
      <c r="H29" s="4">
        <f t="shared" si="0"/>
        <v>2.6241701713530987</v>
      </c>
      <c r="I29" s="4">
        <f t="shared" si="1"/>
        <v>1.5505827814569537</v>
      </c>
      <c r="J29" s="4">
        <f t="shared" si="2"/>
        <v>40.689930833130582</v>
      </c>
      <c r="K29">
        <v>90</v>
      </c>
    </row>
    <row r="30" spans="1:11" x14ac:dyDescent="0.35">
      <c r="A30" t="s">
        <v>11</v>
      </c>
      <c r="B30" t="s">
        <v>16</v>
      </c>
      <c r="C30" t="s">
        <v>21</v>
      </c>
      <c r="D30">
        <v>10103</v>
      </c>
      <c r="E30">
        <v>34751</v>
      </c>
      <c r="F30">
        <v>863</v>
      </c>
      <c r="G30">
        <v>2892.67</v>
      </c>
      <c r="H30" s="4">
        <f t="shared" si="0"/>
        <v>2.483381773186383</v>
      </c>
      <c r="I30" s="4">
        <f t="shared" si="1"/>
        <v>3.3518771726535341</v>
      </c>
      <c r="J30" s="4">
        <f t="shared" si="2"/>
        <v>83.239906765272949</v>
      </c>
      <c r="K30">
        <v>38</v>
      </c>
    </row>
    <row r="31" spans="1:11" x14ac:dyDescent="0.35">
      <c r="A31" t="s">
        <v>11</v>
      </c>
      <c r="B31" t="s">
        <v>16</v>
      </c>
      <c r="C31" t="s">
        <v>19</v>
      </c>
      <c r="D31">
        <v>15787</v>
      </c>
      <c r="E31">
        <v>29530</v>
      </c>
      <c r="F31">
        <v>1044</v>
      </c>
      <c r="G31">
        <v>2388.98</v>
      </c>
      <c r="H31" s="4">
        <f t="shared" si="0"/>
        <v>3.5353877412800543</v>
      </c>
      <c r="I31" s="4">
        <f t="shared" si="1"/>
        <v>2.2882950191570881</v>
      </c>
      <c r="J31" s="4">
        <f t="shared" si="2"/>
        <v>80.900101591601754</v>
      </c>
      <c r="K31">
        <v>54</v>
      </c>
    </row>
    <row r="32" spans="1:11" x14ac:dyDescent="0.35">
      <c r="A32" t="s">
        <v>11</v>
      </c>
      <c r="B32" t="s">
        <v>16</v>
      </c>
      <c r="C32" t="s">
        <v>20</v>
      </c>
      <c r="D32">
        <v>10705</v>
      </c>
      <c r="E32">
        <v>22601</v>
      </c>
      <c r="F32">
        <v>1116</v>
      </c>
      <c r="G32">
        <v>1632.24</v>
      </c>
      <c r="H32" s="4">
        <f t="shared" si="0"/>
        <v>4.9378346090880934</v>
      </c>
      <c r="I32" s="4">
        <f t="shared" si="1"/>
        <v>1.4625806451612904</v>
      </c>
      <c r="J32" s="4">
        <f t="shared" si="2"/>
        <v>72.219813282598125</v>
      </c>
      <c r="K32">
        <v>70</v>
      </c>
    </row>
    <row r="33" spans="1:11" x14ac:dyDescent="0.35">
      <c r="A33" t="s">
        <v>11</v>
      </c>
      <c r="B33" t="s">
        <v>16</v>
      </c>
      <c r="C33" t="s">
        <v>20</v>
      </c>
      <c r="D33">
        <v>16645</v>
      </c>
      <c r="E33">
        <v>31576</v>
      </c>
      <c r="F33">
        <v>1223</v>
      </c>
      <c r="G33">
        <v>1768.57</v>
      </c>
      <c r="H33" s="4">
        <f t="shared" si="0"/>
        <v>3.8731948315176083</v>
      </c>
      <c r="I33" s="4">
        <f t="shared" si="1"/>
        <v>1.4460915780866721</v>
      </c>
      <c r="J33" s="4">
        <f t="shared" si="2"/>
        <v>56.009944261464405</v>
      </c>
      <c r="K33">
        <v>131</v>
      </c>
    </row>
    <row r="34" spans="1:11" x14ac:dyDescent="0.35">
      <c r="A34" t="s">
        <v>11</v>
      </c>
      <c r="B34" t="s">
        <v>16</v>
      </c>
      <c r="C34" t="s">
        <v>20</v>
      </c>
      <c r="D34">
        <v>14932</v>
      </c>
      <c r="E34">
        <v>22881</v>
      </c>
      <c r="F34">
        <v>1154</v>
      </c>
      <c r="G34">
        <v>1795.24</v>
      </c>
      <c r="H34" s="4">
        <f t="shared" si="0"/>
        <v>5.0434858616319218</v>
      </c>
      <c r="I34" s="4">
        <f t="shared" si="1"/>
        <v>1.5556672443674178</v>
      </c>
      <c r="J34" s="4">
        <f t="shared" si="2"/>
        <v>78.45985752370963</v>
      </c>
      <c r="K34">
        <v>27</v>
      </c>
    </row>
    <row r="35" spans="1:11" x14ac:dyDescent="0.35">
      <c r="A35" t="s">
        <v>11</v>
      </c>
      <c r="B35" t="s">
        <v>16</v>
      </c>
      <c r="C35" t="s">
        <v>21</v>
      </c>
      <c r="D35">
        <v>16835</v>
      </c>
      <c r="E35">
        <v>34259</v>
      </c>
      <c r="F35">
        <v>1052</v>
      </c>
      <c r="G35">
        <v>1599.55</v>
      </c>
      <c r="H35" s="4">
        <f t="shared" si="0"/>
        <v>3.0707259406287402</v>
      </c>
      <c r="I35" s="4">
        <f t="shared" si="1"/>
        <v>1.5204847908745247</v>
      </c>
      <c r="J35" s="4">
        <f t="shared" si="2"/>
        <v>46.689920896698673</v>
      </c>
      <c r="K35">
        <v>68</v>
      </c>
    </row>
    <row r="36" spans="1:11" x14ac:dyDescent="0.35">
      <c r="A36" t="s">
        <v>11</v>
      </c>
      <c r="B36" t="s">
        <v>16</v>
      </c>
      <c r="C36" t="s">
        <v>21</v>
      </c>
      <c r="D36">
        <v>19959</v>
      </c>
      <c r="E36">
        <v>29241</v>
      </c>
      <c r="F36">
        <v>1408</v>
      </c>
      <c r="G36">
        <v>1932.54</v>
      </c>
      <c r="H36" s="4">
        <f t="shared" si="0"/>
        <v>4.8151568003830238</v>
      </c>
      <c r="I36" s="4">
        <f t="shared" si="1"/>
        <v>1.3725426136363637</v>
      </c>
      <c r="J36" s="4">
        <f t="shared" si="2"/>
        <v>66.090078998666257</v>
      </c>
      <c r="K36">
        <v>73</v>
      </c>
    </row>
    <row r="37" spans="1:11" x14ac:dyDescent="0.35">
      <c r="A37" t="s">
        <v>11</v>
      </c>
      <c r="B37" t="s">
        <v>16</v>
      </c>
      <c r="C37" t="s">
        <v>21</v>
      </c>
      <c r="D37">
        <v>19680</v>
      </c>
      <c r="E37">
        <v>30691</v>
      </c>
      <c r="F37">
        <v>864</v>
      </c>
      <c r="G37">
        <v>2063.0500000000002</v>
      </c>
      <c r="H37" s="4">
        <f t="shared" si="0"/>
        <v>2.8151575380404679</v>
      </c>
      <c r="I37" s="4">
        <f t="shared" si="1"/>
        <v>2.3877893518518523</v>
      </c>
      <c r="J37" s="4">
        <f t="shared" si="2"/>
        <v>67.220031931185048</v>
      </c>
      <c r="K37">
        <v>99</v>
      </c>
    </row>
    <row r="38" spans="1:11" x14ac:dyDescent="0.35">
      <c r="A38" t="s">
        <v>11</v>
      </c>
      <c r="B38" t="s">
        <v>16</v>
      </c>
      <c r="C38" t="s">
        <v>19</v>
      </c>
      <c r="D38">
        <v>14537</v>
      </c>
      <c r="E38">
        <v>29902</v>
      </c>
      <c r="F38">
        <v>1355</v>
      </c>
      <c r="G38">
        <v>2907.37</v>
      </c>
      <c r="H38" s="4">
        <f t="shared" si="0"/>
        <v>4.5314694669252891</v>
      </c>
      <c r="I38" s="4">
        <f t="shared" si="1"/>
        <v>2.1456605166051661</v>
      </c>
      <c r="J38" s="4">
        <f t="shared" si="2"/>
        <v>97.229951173834522</v>
      </c>
      <c r="K38">
        <v>111</v>
      </c>
    </row>
    <row r="39" spans="1:11" x14ac:dyDescent="0.35">
      <c r="A39" t="s">
        <v>11</v>
      </c>
      <c r="B39" t="s">
        <v>16</v>
      </c>
      <c r="C39" t="s">
        <v>19</v>
      </c>
      <c r="D39">
        <v>18647</v>
      </c>
      <c r="E39">
        <v>30359</v>
      </c>
      <c r="F39">
        <v>1004</v>
      </c>
      <c r="G39">
        <v>2809.73</v>
      </c>
      <c r="H39" s="4">
        <f t="shared" si="0"/>
        <v>3.3070918014427351</v>
      </c>
      <c r="I39" s="4">
        <f t="shared" si="1"/>
        <v>2.7985358565737051</v>
      </c>
      <c r="J39" s="4">
        <f t="shared" si="2"/>
        <v>92.550149873184225</v>
      </c>
      <c r="K39">
        <v>28</v>
      </c>
    </row>
    <row r="40" spans="1:11" x14ac:dyDescent="0.35">
      <c r="A40" t="s">
        <v>11</v>
      </c>
      <c r="B40" t="s">
        <v>16</v>
      </c>
      <c r="C40" t="s">
        <v>20</v>
      </c>
      <c r="D40">
        <v>15177</v>
      </c>
      <c r="E40">
        <v>34469</v>
      </c>
      <c r="F40">
        <v>756</v>
      </c>
      <c r="G40">
        <v>1923.37</v>
      </c>
      <c r="H40" s="4">
        <f t="shared" si="0"/>
        <v>2.1932751167715918</v>
      </c>
      <c r="I40" s="4">
        <f t="shared" si="1"/>
        <v>2.5441402116402116</v>
      </c>
      <c r="J40" s="4">
        <f t="shared" si="2"/>
        <v>55.799994197684875</v>
      </c>
      <c r="K40">
        <v>63</v>
      </c>
    </row>
    <row r="41" spans="1:11" x14ac:dyDescent="0.35">
      <c r="A41" t="s">
        <v>11</v>
      </c>
      <c r="B41" t="s">
        <v>16</v>
      </c>
      <c r="C41" t="s">
        <v>20</v>
      </c>
      <c r="D41">
        <v>16479</v>
      </c>
      <c r="E41">
        <v>28819</v>
      </c>
      <c r="F41">
        <v>957</v>
      </c>
      <c r="G41">
        <v>2018.48</v>
      </c>
      <c r="H41" s="4">
        <f t="shared" si="0"/>
        <v>3.3207259099899371</v>
      </c>
      <c r="I41" s="4">
        <f t="shared" si="1"/>
        <v>2.1091745036572624</v>
      </c>
      <c r="J41" s="4">
        <f t="shared" si="2"/>
        <v>70.039904229848361</v>
      </c>
      <c r="K41">
        <v>72</v>
      </c>
    </row>
    <row r="42" spans="1:11" x14ac:dyDescent="0.35">
      <c r="A42" t="s">
        <v>11</v>
      </c>
      <c r="B42" t="s">
        <v>16</v>
      </c>
      <c r="C42" t="s">
        <v>20</v>
      </c>
      <c r="D42">
        <v>9982</v>
      </c>
      <c r="E42">
        <v>21099</v>
      </c>
      <c r="F42">
        <v>757</v>
      </c>
      <c r="G42">
        <v>1070.1400000000001</v>
      </c>
      <c r="H42" s="4">
        <f t="shared" si="0"/>
        <v>3.5878477652969338</v>
      </c>
      <c r="I42" s="4">
        <f t="shared" si="1"/>
        <v>1.4136591809775432</v>
      </c>
      <c r="J42" s="4">
        <f t="shared" si="2"/>
        <v>50.71993933361771</v>
      </c>
      <c r="K42">
        <v>69</v>
      </c>
    </row>
    <row r="43" spans="1:11" x14ac:dyDescent="0.35">
      <c r="A43" t="s">
        <v>11</v>
      </c>
      <c r="B43" t="s">
        <v>16</v>
      </c>
      <c r="C43" t="s">
        <v>20</v>
      </c>
      <c r="D43">
        <v>11681</v>
      </c>
      <c r="E43">
        <v>17283</v>
      </c>
      <c r="F43">
        <v>950</v>
      </c>
      <c r="G43">
        <v>1637.74</v>
      </c>
      <c r="H43" s="4">
        <f t="shared" si="0"/>
        <v>5.4967308916276112</v>
      </c>
      <c r="I43" s="4">
        <f t="shared" si="1"/>
        <v>1.7239368421052632</v>
      </c>
      <c r="J43" s="4">
        <f t="shared" si="2"/>
        <v>94.760168952149513</v>
      </c>
      <c r="K43">
        <v>0</v>
      </c>
    </row>
    <row r="44" spans="1:11" x14ac:dyDescent="0.35">
      <c r="A44" t="s">
        <v>11</v>
      </c>
      <c r="B44" t="s">
        <v>16</v>
      </c>
      <c r="C44" t="s">
        <v>20</v>
      </c>
      <c r="D44">
        <v>13539</v>
      </c>
      <c r="E44">
        <v>18289</v>
      </c>
      <c r="F44">
        <v>755</v>
      </c>
      <c r="G44">
        <v>1686.79</v>
      </c>
      <c r="H44" s="4">
        <f t="shared" si="0"/>
        <v>4.1281644704467162</v>
      </c>
      <c r="I44" s="4">
        <f t="shared" si="1"/>
        <v>2.234158940397351</v>
      </c>
      <c r="J44" s="4">
        <f t="shared" si="2"/>
        <v>92.22975559079228</v>
      </c>
      <c r="K44">
        <v>81</v>
      </c>
    </row>
    <row r="45" spans="1:11" x14ac:dyDescent="0.35">
      <c r="A45" t="s">
        <v>11</v>
      </c>
      <c r="B45" t="s">
        <v>16</v>
      </c>
      <c r="C45" t="s">
        <v>20</v>
      </c>
      <c r="D45">
        <v>17638</v>
      </c>
      <c r="E45">
        <v>32004</v>
      </c>
      <c r="F45">
        <v>1122</v>
      </c>
      <c r="G45">
        <v>1853.35</v>
      </c>
      <c r="H45" s="4">
        <f t="shared" si="0"/>
        <v>3.505811773528309</v>
      </c>
      <c r="I45" s="4">
        <f t="shared" si="1"/>
        <v>1.6518270944741533</v>
      </c>
      <c r="J45" s="4">
        <f t="shared" si="2"/>
        <v>57.909948756405448</v>
      </c>
      <c r="K45">
        <v>70</v>
      </c>
    </row>
    <row r="46" spans="1:11" x14ac:dyDescent="0.35">
      <c r="A46" t="s">
        <v>11</v>
      </c>
      <c r="B46" t="s">
        <v>16</v>
      </c>
      <c r="C46" t="s">
        <v>20</v>
      </c>
      <c r="D46">
        <v>11770</v>
      </c>
      <c r="E46">
        <v>34583</v>
      </c>
      <c r="F46">
        <v>1006</v>
      </c>
      <c r="G46">
        <v>2709.23</v>
      </c>
      <c r="H46" s="4">
        <f t="shared" si="0"/>
        <v>2.9089437006621752</v>
      </c>
      <c r="I46" s="4">
        <f t="shared" si="1"/>
        <v>2.6930715705765409</v>
      </c>
      <c r="J46" s="4">
        <f t="shared" si="2"/>
        <v>78.339935806610185</v>
      </c>
      <c r="K46">
        <v>74</v>
      </c>
    </row>
    <row r="47" spans="1:11" x14ac:dyDescent="0.35">
      <c r="A47" t="s">
        <v>11</v>
      </c>
      <c r="B47" t="s">
        <v>16</v>
      </c>
      <c r="C47" t="s">
        <v>21</v>
      </c>
      <c r="D47">
        <v>11608</v>
      </c>
      <c r="E47">
        <v>15325</v>
      </c>
      <c r="F47">
        <v>690</v>
      </c>
      <c r="G47">
        <v>1172.98</v>
      </c>
      <c r="H47" s="4">
        <f t="shared" si="0"/>
        <v>4.5024469820554653</v>
      </c>
      <c r="I47" s="4">
        <f t="shared" si="1"/>
        <v>1.6999710144927536</v>
      </c>
      <c r="J47" s="4">
        <f t="shared" si="2"/>
        <v>76.540293637846659</v>
      </c>
      <c r="K47">
        <v>38</v>
      </c>
    </row>
    <row r="48" spans="1:11" x14ac:dyDescent="0.35">
      <c r="A48" t="s">
        <v>11</v>
      </c>
      <c r="B48" t="s">
        <v>16</v>
      </c>
      <c r="C48" t="s">
        <v>20</v>
      </c>
      <c r="D48">
        <v>9163</v>
      </c>
      <c r="E48">
        <v>32679</v>
      </c>
      <c r="F48">
        <v>625</v>
      </c>
      <c r="G48">
        <v>1606.83</v>
      </c>
      <c r="H48" s="4">
        <f t="shared" si="0"/>
        <v>1.9125432234768505</v>
      </c>
      <c r="I48" s="4">
        <f t="shared" si="1"/>
        <v>2.5709279999999999</v>
      </c>
      <c r="J48" s="4">
        <f t="shared" si="2"/>
        <v>49.170109244468918</v>
      </c>
      <c r="K48">
        <v>72</v>
      </c>
    </row>
    <row r="49" spans="1:11" x14ac:dyDescent="0.35">
      <c r="A49" t="s">
        <v>11</v>
      </c>
      <c r="B49" t="s">
        <v>16</v>
      </c>
      <c r="C49" t="s">
        <v>20</v>
      </c>
      <c r="D49">
        <v>8964</v>
      </c>
      <c r="E49">
        <v>19501</v>
      </c>
      <c r="F49">
        <v>616</v>
      </c>
      <c r="G49">
        <v>1672.21</v>
      </c>
      <c r="H49" s="4">
        <f t="shared" si="0"/>
        <v>3.1588123685964824</v>
      </c>
      <c r="I49" s="4">
        <f t="shared" si="1"/>
        <v>2.7146266233766236</v>
      </c>
      <c r="J49" s="4">
        <f t="shared" si="2"/>
        <v>85.749961540433816</v>
      </c>
      <c r="K49">
        <v>45</v>
      </c>
    </row>
    <row r="50" spans="1:11" x14ac:dyDescent="0.35">
      <c r="A50" t="s">
        <v>11</v>
      </c>
      <c r="B50" t="s">
        <v>16</v>
      </c>
      <c r="C50" t="s">
        <v>20</v>
      </c>
      <c r="D50">
        <v>9104</v>
      </c>
      <c r="E50">
        <v>13029</v>
      </c>
      <c r="F50">
        <v>671</v>
      </c>
      <c r="G50">
        <v>942.78</v>
      </c>
      <c r="H50" s="4">
        <f t="shared" si="0"/>
        <v>5.150049888709801</v>
      </c>
      <c r="I50" s="4">
        <f t="shared" si="1"/>
        <v>1.405037257824143</v>
      </c>
      <c r="J50" s="4">
        <f t="shared" si="2"/>
        <v>72.360119732903513</v>
      </c>
      <c r="K50">
        <v>74</v>
      </c>
    </row>
    <row r="51" spans="1:11" x14ac:dyDescent="0.35">
      <c r="A51" t="s">
        <v>11</v>
      </c>
      <c r="B51" t="s">
        <v>16</v>
      </c>
      <c r="C51" t="s">
        <v>20</v>
      </c>
      <c r="D51">
        <v>13413</v>
      </c>
      <c r="E51">
        <v>19757</v>
      </c>
      <c r="F51">
        <v>1076</v>
      </c>
      <c r="G51">
        <v>1713.33</v>
      </c>
      <c r="H51" s="4">
        <f t="shared" si="0"/>
        <v>5.4461709773751075</v>
      </c>
      <c r="I51" s="4">
        <f t="shared" si="1"/>
        <v>1.5923141263940519</v>
      </c>
      <c r="J51" s="4">
        <f t="shared" si="2"/>
        <v>86.720149820316848</v>
      </c>
      <c r="K51">
        <v>82</v>
      </c>
    </row>
    <row r="52" spans="1:11" x14ac:dyDescent="0.35">
      <c r="A52" t="s">
        <v>11</v>
      </c>
      <c r="B52" t="s">
        <v>17</v>
      </c>
      <c r="C52" t="s">
        <v>21</v>
      </c>
      <c r="D52">
        <v>16423</v>
      </c>
      <c r="E52">
        <v>25248</v>
      </c>
      <c r="F52">
        <v>885</v>
      </c>
      <c r="G52">
        <v>1813.31</v>
      </c>
      <c r="H52" s="4">
        <f t="shared" si="0"/>
        <v>3.505228136882129</v>
      </c>
      <c r="I52" s="4">
        <f t="shared" si="1"/>
        <v>2.0489378531073448</v>
      </c>
      <c r="J52" s="4">
        <f t="shared" si="2"/>
        <v>71.819946134347276</v>
      </c>
      <c r="K52">
        <v>32</v>
      </c>
    </row>
    <row r="53" spans="1:11" x14ac:dyDescent="0.35">
      <c r="A53" t="s">
        <v>11</v>
      </c>
      <c r="B53" t="s">
        <v>17</v>
      </c>
      <c r="C53" t="s">
        <v>21</v>
      </c>
      <c r="D53">
        <v>12562</v>
      </c>
      <c r="E53">
        <v>32236</v>
      </c>
      <c r="F53">
        <v>899</v>
      </c>
      <c r="G53">
        <v>1290.4100000000001</v>
      </c>
      <c r="H53" s="4">
        <f t="shared" si="0"/>
        <v>2.7888075443603424</v>
      </c>
      <c r="I53" s="4">
        <f t="shared" si="1"/>
        <v>1.4353837597330368</v>
      </c>
      <c r="J53" s="4">
        <f t="shared" si="2"/>
        <v>40.030090581958063</v>
      </c>
      <c r="K53">
        <v>32</v>
      </c>
    </row>
    <row r="54" spans="1:11" x14ac:dyDescent="0.35">
      <c r="A54" t="s">
        <v>11</v>
      </c>
      <c r="B54" t="s">
        <v>17</v>
      </c>
      <c r="C54" t="s">
        <v>19</v>
      </c>
      <c r="D54">
        <v>11510</v>
      </c>
      <c r="E54">
        <v>32632</v>
      </c>
      <c r="F54">
        <v>744</v>
      </c>
      <c r="G54">
        <v>1939.97</v>
      </c>
      <c r="H54" s="4">
        <f t="shared" si="0"/>
        <v>2.2799705810247608</v>
      </c>
      <c r="I54" s="4">
        <f t="shared" si="1"/>
        <v>2.6074865591397849</v>
      </c>
      <c r="J54" s="4">
        <f t="shared" si="2"/>
        <v>59.449926452561904</v>
      </c>
      <c r="K54">
        <v>51</v>
      </c>
    </row>
    <row r="55" spans="1:11" x14ac:dyDescent="0.35">
      <c r="A55" t="s">
        <v>11</v>
      </c>
      <c r="B55" t="s">
        <v>17</v>
      </c>
      <c r="C55" t="s">
        <v>19</v>
      </c>
      <c r="D55">
        <v>10167</v>
      </c>
      <c r="E55">
        <v>31928</v>
      </c>
      <c r="F55">
        <v>593</v>
      </c>
      <c r="G55">
        <v>1314.48</v>
      </c>
      <c r="H55" s="4">
        <f t="shared" si="0"/>
        <v>1.8573039338511652</v>
      </c>
      <c r="I55" s="4">
        <f t="shared" si="1"/>
        <v>2.2166610455311972</v>
      </c>
      <c r="J55" s="4">
        <f t="shared" si="2"/>
        <v>41.170132798797297</v>
      </c>
      <c r="K55">
        <v>37</v>
      </c>
    </row>
    <row r="56" spans="1:11" x14ac:dyDescent="0.35">
      <c r="A56" t="s">
        <v>11</v>
      </c>
      <c r="B56" t="s">
        <v>17</v>
      </c>
      <c r="C56" t="s">
        <v>20</v>
      </c>
      <c r="D56">
        <v>17440</v>
      </c>
      <c r="E56">
        <v>30416</v>
      </c>
      <c r="F56">
        <v>885</v>
      </c>
      <c r="G56">
        <v>2912.33</v>
      </c>
      <c r="H56" s="4">
        <f t="shared" si="0"/>
        <v>2.909652814308259</v>
      </c>
      <c r="I56" s="4">
        <f t="shared" si="1"/>
        <v>3.2907683615819208</v>
      </c>
      <c r="J56" s="4">
        <f t="shared" si="2"/>
        <v>95.749934245134142</v>
      </c>
      <c r="K56">
        <v>21</v>
      </c>
    </row>
    <row r="57" spans="1:11" x14ac:dyDescent="0.35">
      <c r="A57" t="s">
        <v>11</v>
      </c>
      <c r="B57" t="s">
        <v>17</v>
      </c>
      <c r="C57" t="s">
        <v>20</v>
      </c>
      <c r="D57">
        <v>11981</v>
      </c>
      <c r="E57">
        <v>31073</v>
      </c>
      <c r="F57">
        <v>694</v>
      </c>
      <c r="G57">
        <v>2881.09</v>
      </c>
      <c r="H57" s="4">
        <f t="shared" si="0"/>
        <v>2.2334502622855856</v>
      </c>
      <c r="I57" s="4">
        <f t="shared" si="1"/>
        <v>4.1514265129682997</v>
      </c>
      <c r="J57" s="4">
        <f t="shared" si="2"/>
        <v>92.72004634248384</v>
      </c>
      <c r="K57">
        <v>37</v>
      </c>
    </row>
    <row r="58" spans="1:11" x14ac:dyDescent="0.35">
      <c r="A58" t="s">
        <v>11</v>
      </c>
      <c r="B58" t="s">
        <v>17</v>
      </c>
      <c r="C58" t="s">
        <v>20</v>
      </c>
      <c r="D58">
        <v>21230</v>
      </c>
      <c r="E58">
        <v>34268</v>
      </c>
      <c r="F58">
        <v>612</v>
      </c>
      <c r="G58">
        <v>3080.69</v>
      </c>
      <c r="H58" s="4">
        <f t="shared" si="0"/>
        <v>1.78592272674215</v>
      </c>
      <c r="I58" s="4">
        <f t="shared" si="1"/>
        <v>5.0338071895424834</v>
      </c>
      <c r="J58" s="4">
        <f t="shared" si="2"/>
        <v>89.899906618419507</v>
      </c>
      <c r="K58">
        <v>63</v>
      </c>
    </row>
    <row r="59" spans="1:11" x14ac:dyDescent="0.35">
      <c r="A59" t="s">
        <v>11</v>
      </c>
      <c r="B59" t="s">
        <v>17</v>
      </c>
      <c r="C59" t="s">
        <v>21</v>
      </c>
      <c r="D59">
        <v>11119</v>
      </c>
      <c r="E59">
        <v>17544</v>
      </c>
      <c r="F59">
        <v>1119</v>
      </c>
      <c r="G59">
        <v>1025.45</v>
      </c>
      <c r="H59" s="4">
        <f t="shared" si="0"/>
        <v>6.3782489740082076</v>
      </c>
      <c r="I59" s="4">
        <f t="shared" si="1"/>
        <v>0.91639857015192139</v>
      </c>
      <c r="J59" s="4">
        <f t="shared" si="2"/>
        <v>58.450182398540818</v>
      </c>
      <c r="K59">
        <v>40</v>
      </c>
    </row>
    <row r="60" spans="1:11" x14ac:dyDescent="0.35">
      <c r="A60" t="s">
        <v>11</v>
      </c>
      <c r="B60" t="s">
        <v>17</v>
      </c>
      <c r="C60" t="s">
        <v>20</v>
      </c>
      <c r="D60">
        <v>9588</v>
      </c>
      <c r="E60">
        <v>34057</v>
      </c>
      <c r="F60">
        <v>1427</v>
      </c>
      <c r="G60">
        <v>1480.8</v>
      </c>
      <c r="H60" s="4">
        <f t="shared" si="0"/>
        <v>4.1900343541709493</v>
      </c>
      <c r="I60" s="4">
        <f t="shared" si="1"/>
        <v>1.0377014716187807</v>
      </c>
      <c r="J60" s="4">
        <f t="shared" si="2"/>
        <v>43.4800481545644</v>
      </c>
      <c r="K60">
        <v>117</v>
      </c>
    </row>
    <row r="61" spans="1:11" x14ac:dyDescent="0.35">
      <c r="A61" t="s">
        <v>11</v>
      </c>
      <c r="B61" t="s">
        <v>17</v>
      </c>
      <c r="C61" t="s">
        <v>20</v>
      </c>
      <c r="D61">
        <v>15062</v>
      </c>
      <c r="E61">
        <v>25384</v>
      </c>
      <c r="F61">
        <v>759</v>
      </c>
      <c r="G61">
        <v>2352.59</v>
      </c>
      <c r="H61" s="4">
        <f t="shared" si="0"/>
        <v>2.9900724866057358</v>
      </c>
      <c r="I61" s="4">
        <f t="shared" si="1"/>
        <v>3.0995915678524377</v>
      </c>
      <c r="J61" s="4">
        <f t="shared" si="2"/>
        <v>92.680034667507101</v>
      </c>
      <c r="K61">
        <v>35</v>
      </c>
    </row>
    <row r="62" spans="1:11" x14ac:dyDescent="0.35">
      <c r="A62" t="s">
        <v>11</v>
      </c>
      <c r="B62" t="s">
        <v>17</v>
      </c>
      <c r="C62" t="s">
        <v>20</v>
      </c>
      <c r="D62">
        <v>14939</v>
      </c>
      <c r="E62">
        <v>26155</v>
      </c>
      <c r="F62">
        <v>833</v>
      </c>
      <c r="G62">
        <v>2532.33</v>
      </c>
      <c r="H62" s="4">
        <f t="shared" si="0"/>
        <v>3.1848594914930222</v>
      </c>
      <c r="I62" s="4">
        <f t="shared" si="1"/>
        <v>3.0400120048019206</v>
      </c>
      <c r="J62" s="4">
        <f t="shared" si="2"/>
        <v>96.820110877461289</v>
      </c>
      <c r="K62">
        <v>47</v>
      </c>
    </row>
    <row r="63" spans="1:11" x14ac:dyDescent="0.35">
      <c r="A63" t="s">
        <v>11</v>
      </c>
      <c r="B63" t="s">
        <v>17</v>
      </c>
      <c r="C63" t="s">
        <v>21</v>
      </c>
      <c r="D63">
        <v>15651</v>
      </c>
      <c r="E63">
        <v>34499</v>
      </c>
      <c r="F63">
        <v>741</v>
      </c>
      <c r="G63">
        <v>1557.28</v>
      </c>
      <c r="H63" s="4">
        <f t="shared" si="0"/>
        <v>2.1478883445896981</v>
      </c>
      <c r="I63" s="4">
        <f t="shared" si="1"/>
        <v>2.1015924426450741</v>
      </c>
      <c r="J63" s="4">
        <f t="shared" si="2"/>
        <v>45.139859126351489</v>
      </c>
      <c r="K63">
        <v>30</v>
      </c>
    </row>
    <row r="64" spans="1:11" x14ac:dyDescent="0.35">
      <c r="A64" t="s">
        <v>11</v>
      </c>
      <c r="B64" t="s">
        <v>17</v>
      </c>
      <c r="C64" t="s">
        <v>21</v>
      </c>
      <c r="D64">
        <v>19945</v>
      </c>
      <c r="E64">
        <v>26815</v>
      </c>
      <c r="F64">
        <v>786</v>
      </c>
      <c r="G64">
        <v>1854.53</v>
      </c>
      <c r="H64" s="4">
        <f t="shared" si="0"/>
        <v>2.9311952265523029</v>
      </c>
      <c r="I64" s="4">
        <f t="shared" si="1"/>
        <v>2.3594529262086512</v>
      </c>
      <c r="J64" s="4">
        <f t="shared" si="2"/>
        <v>69.160171545776606</v>
      </c>
      <c r="K64">
        <v>47</v>
      </c>
    </row>
    <row r="65" spans="1:11" x14ac:dyDescent="0.35">
      <c r="A65" t="s">
        <v>11</v>
      </c>
      <c r="B65" t="s">
        <v>17</v>
      </c>
      <c r="C65" t="s">
        <v>21</v>
      </c>
      <c r="D65">
        <v>19032</v>
      </c>
      <c r="E65">
        <v>26353</v>
      </c>
      <c r="F65">
        <v>919</v>
      </c>
      <c r="G65">
        <v>1163.48</v>
      </c>
      <c r="H65" s="4">
        <f t="shared" si="0"/>
        <v>3.4872690016316925</v>
      </c>
      <c r="I65" s="4">
        <f t="shared" si="1"/>
        <v>1.2660282916213275</v>
      </c>
      <c r="J65" s="4">
        <f t="shared" si="2"/>
        <v>44.149812165597844</v>
      </c>
      <c r="K65">
        <v>70</v>
      </c>
    </row>
    <row r="66" spans="1:11" x14ac:dyDescent="0.35">
      <c r="A66" t="s">
        <v>11</v>
      </c>
      <c r="B66" t="s">
        <v>17</v>
      </c>
      <c r="C66" t="s">
        <v>21</v>
      </c>
      <c r="D66">
        <v>8993</v>
      </c>
      <c r="E66">
        <v>25193</v>
      </c>
      <c r="F66">
        <v>673</v>
      </c>
      <c r="G66">
        <v>2157.5300000000002</v>
      </c>
      <c r="H66" s="4">
        <f t="shared" si="0"/>
        <v>2.6713769697931964</v>
      </c>
      <c r="I66" s="4">
        <f t="shared" si="1"/>
        <v>3.2058395245170881</v>
      </c>
      <c r="J66" s="4">
        <f t="shared" si="2"/>
        <v>85.640058746477209</v>
      </c>
      <c r="K66">
        <v>32</v>
      </c>
    </row>
    <row r="67" spans="1:11" x14ac:dyDescent="0.35">
      <c r="A67" t="s">
        <v>11</v>
      </c>
      <c r="B67" t="s">
        <v>17</v>
      </c>
      <c r="C67" t="s">
        <v>21</v>
      </c>
      <c r="D67">
        <v>19931</v>
      </c>
      <c r="E67">
        <v>31469</v>
      </c>
      <c r="F67">
        <v>932</v>
      </c>
      <c r="G67">
        <v>2704.76</v>
      </c>
      <c r="H67" s="4">
        <f t="shared" ref="H67:H130" si="3">F67/E67*100</f>
        <v>2.9616447932886332</v>
      </c>
      <c r="I67" s="4">
        <f t="shared" ref="I67:I130" si="4">G67/F67</f>
        <v>2.9021030042918459</v>
      </c>
      <c r="J67" s="4">
        <f t="shared" ref="J67:J130" si="5">G67/E67*1000</f>
        <v>85.949982522482458</v>
      </c>
      <c r="K67">
        <v>42</v>
      </c>
    </row>
    <row r="68" spans="1:11" x14ac:dyDescent="0.35">
      <c r="A68" t="s">
        <v>11</v>
      </c>
      <c r="B68" t="s">
        <v>17</v>
      </c>
      <c r="C68" t="s">
        <v>21</v>
      </c>
      <c r="D68">
        <v>21116</v>
      </c>
      <c r="E68">
        <v>29240</v>
      </c>
      <c r="F68">
        <v>994</v>
      </c>
      <c r="G68">
        <v>1394.75</v>
      </c>
      <c r="H68" s="4">
        <f t="shared" si="3"/>
        <v>3.3994528043775651</v>
      </c>
      <c r="I68" s="4">
        <f t="shared" si="4"/>
        <v>1.403169014084507</v>
      </c>
      <c r="J68" s="4">
        <f t="shared" si="5"/>
        <v>47.700068399452803</v>
      </c>
      <c r="K68">
        <v>90</v>
      </c>
    </row>
    <row r="69" spans="1:11" x14ac:dyDescent="0.35">
      <c r="A69" t="s">
        <v>11</v>
      </c>
      <c r="B69" t="s">
        <v>18</v>
      </c>
      <c r="C69" t="s">
        <v>21</v>
      </c>
      <c r="D69">
        <v>12073</v>
      </c>
      <c r="E69">
        <v>21972</v>
      </c>
      <c r="F69">
        <v>1244</v>
      </c>
      <c r="G69">
        <v>1505.52</v>
      </c>
      <c r="H69" s="4">
        <f t="shared" si="3"/>
        <v>5.6617513198616427</v>
      </c>
      <c r="I69" s="4">
        <f t="shared" si="4"/>
        <v>1.2102250803858521</v>
      </c>
      <c r="J69" s="4">
        <f t="shared" si="5"/>
        <v>68.519934462042599</v>
      </c>
      <c r="K69">
        <v>101</v>
      </c>
    </row>
    <row r="70" spans="1:11" x14ac:dyDescent="0.35">
      <c r="A70" t="s">
        <v>11</v>
      </c>
      <c r="B70" t="s">
        <v>18</v>
      </c>
      <c r="C70" t="s">
        <v>19</v>
      </c>
      <c r="D70">
        <v>11116</v>
      </c>
      <c r="E70">
        <v>32023</v>
      </c>
      <c r="F70">
        <v>762</v>
      </c>
      <c r="G70">
        <v>2337.36</v>
      </c>
      <c r="H70" s="4">
        <f t="shared" si="3"/>
        <v>2.37953970583643</v>
      </c>
      <c r="I70" s="4">
        <f t="shared" si="4"/>
        <v>3.0674015748031498</v>
      </c>
      <c r="J70" s="4">
        <f t="shared" si="5"/>
        <v>72.99003840989289</v>
      </c>
      <c r="K70">
        <v>0</v>
      </c>
    </row>
    <row r="71" spans="1:11" x14ac:dyDescent="0.35">
      <c r="A71" t="s">
        <v>11</v>
      </c>
      <c r="B71" t="s">
        <v>18</v>
      </c>
      <c r="C71" t="s">
        <v>21</v>
      </c>
      <c r="D71">
        <v>15350</v>
      </c>
      <c r="E71">
        <v>22251</v>
      </c>
      <c r="F71">
        <v>969</v>
      </c>
      <c r="G71">
        <v>1243.83</v>
      </c>
      <c r="H71" s="4">
        <f t="shared" si="3"/>
        <v>4.354860455709856</v>
      </c>
      <c r="I71" s="4">
        <f t="shared" si="4"/>
        <v>1.2836222910216717</v>
      </c>
      <c r="J71" s="4">
        <f t="shared" si="5"/>
        <v>55.899959552379663</v>
      </c>
      <c r="K71">
        <v>82</v>
      </c>
    </row>
    <row r="72" spans="1:11" x14ac:dyDescent="0.35">
      <c r="A72" t="s">
        <v>11</v>
      </c>
      <c r="B72" t="s">
        <v>18</v>
      </c>
      <c r="C72" t="s">
        <v>21</v>
      </c>
      <c r="D72">
        <v>14912</v>
      </c>
      <c r="E72">
        <v>22391</v>
      </c>
      <c r="F72">
        <v>622</v>
      </c>
      <c r="G72">
        <v>2067.81</v>
      </c>
      <c r="H72" s="4">
        <f t="shared" si="3"/>
        <v>2.77790183555893</v>
      </c>
      <c r="I72" s="4">
        <f t="shared" si="4"/>
        <v>3.3244533762057875</v>
      </c>
      <c r="J72" s="4">
        <f t="shared" si="5"/>
        <v>92.350051359921395</v>
      </c>
      <c r="K72">
        <v>67</v>
      </c>
    </row>
    <row r="73" spans="1:11" x14ac:dyDescent="0.35">
      <c r="A73" t="s">
        <v>11</v>
      </c>
      <c r="B73" t="s">
        <v>18</v>
      </c>
      <c r="C73" t="s">
        <v>21</v>
      </c>
      <c r="D73">
        <v>12563</v>
      </c>
      <c r="E73">
        <v>31490</v>
      </c>
      <c r="F73">
        <v>841</v>
      </c>
      <c r="G73">
        <v>2059.13</v>
      </c>
      <c r="H73" s="4">
        <f t="shared" si="3"/>
        <v>2.6706891076532231</v>
      </c>
      <c r="I73" s="4">
        <f t="shared" si="4"/>
        <v>2.4484304399524377</v>
      </c>
      <c r="J73" s="4">
        <f t="shared" si="5"/>
        <v>65.389965068275643</v>
      </c>
      <c r="K73">
        <v>64</v>
      </c>
    </row>
    <row r="74" spans="1:11" x14ac:dyDescent="0.35">
      <c r="A74" t="s">
        <v>11</v>
      </c>
      <c r="B74" t="s">
        <v>18</v>
      </c>
      <c r="C74" t="s">
        <v>21</v>
      </c>
      <c r="D74">
        <v>12092</v>
      </c>
      <c r="E74">
        <v>18189</v>
      </c>
      <c r="F74">
        <v>802</v>
      </c>
      <c r="G74">
        <v>958.74</v>
      </c>
      <c r="H74" s="4">
        <f t="shared" si="3"/>
        <v>4.4092583429545327</v>
      </c>
      <c r="I74" s="4">
        <f t="shared" si="4"/>
        <v>1.1954364089775562</v>
      </c>
      <c r="J74" s="4">
        <f t="shared" si="5"/>
        <v>52.70987959755896</v>
      </c>
      <c r="K74">
        <v>68</v>
      </c>
    </row>
    <row r="75" spans="1:11" x14ac:dyDescent="0.35">
      <c r="A75" t="s">
        <v>11</v>
      </c>
      <c r="B75" t="s">
        <v>18</v>
      </c>
      <c r="C75" t="s">
        <v>21</v>
      </c>
      <c r="D75">
        <v>15260</v>
      </c>
      <c r="E75">
        <v>33076</v>
      </c>
      <c r="F75">
        <v>636</v>
      </c>
      <c r="G75">
        <v>2393.38</v>
      </c>
      <c r="H75" s="4">
        <f t="shared" si="3"/>
        <v>1.9228443584472126</v>
      </c>
      <c r="I75" s="4">
        <f t="shared" si="4"/>
        <v>3.763176100628931</v>
      </c>
      <c r="J75" s="4">
        <f t="shared" si="5"/>
        <v>72.360019349377197</v>
      </c>
      <c r="K75">
        <v>0</v>
      </c>
    </row>
    <row r="76" spans="1:11" x14ac:dyDescent="0.35">
      <c r="A76" t="s">
        <v>11</v>
      </c>
      <c r="B76" t="s">
        <v>18</v>
      </c>
      <c r="C76" t="s">
        <v>21</v>
      </c>
      <c r="D76">
        <v>17016</v>
      </c>
      <c r="E76">
        <v>23724</v>
      </c>
      <c r="F76">
        <v>785</v>
      </c>
      <c r="G76">
        <v>1988.07</v>
      </c>
      <c r="H76" s="4">
        <f t="shared" si="3"/>
        <v>3.3088855167762601</v>
      </c>
      <c r="I76" s="4">
        <f t="shared" si="4"/>
        <v>2.5325732484076431</v>
      </c>
      <c r="J76" s="4">
        <f t="shared" si="5"/>
        <v>83.799949418310561</v>
      </c>
      <c r="K76">
        <v>68</v>
      </c>
    </row>
    <row r="77" spans="1:11" x14ac:dyDescent="0.35">
      <c r="A77" t="s">
        <v>11</v>
      </c>
      <c r="B77" t="s">
        <v>18</v>
      </c>
      <c r="C77" t="s">
        <v>21</v>
      </c>
      <c r="D77">
        <v>8828</v>
      </c>
      <c r="E77">
        <v>33369</v>
      </c>
      <c r="F77">
        <v>1092</v>
      </c>
      <c r="G77">
        <v>1737.52</v>
      </c>
      <c r="H77" s="4">
        <f t="shared" si="3"/>
        <v>3.2724984266834483</v>
      </c>
      <c r="I77" s="4">
        <f t="shared" si="4"/>
        <v>1.5911355311355311</v>
      </c>
      <c r="J77" s="4">
        <f t="shared" si="5"/>
        <v>52.069885222811592</v>
      </c>
      <c r="K77">
        <v>83</v>
      </c>
    </row>
    <row r="78" spans="1:11" x14ac:dyDescent="0.35">
      <c r="A78" t="s">
        <v>11</v>
      </c>
      <c r="B78" t="s">
        <v>18</v>
      </c>
      <c r="C78" t="s">
        <v>21</v>
      </c>
      <c r="D78">
        <v>16856</v>
      </c>
      <c r="E78">
        <v>22153</v>
      </c>
      <c r="F78">
        <v>732</v>
      </c>
      <c r="G78">
        <v>1300.3800000000001</v>
      </c>
      <c r="H78" s="4">
        <f t="shared" si="3"/>
        <v>3.3042928722972058</v>
      </c>
      <c r="I78" s="4">
        <f t="shared" si="4"/>
        <v>1.7764754098360658</v>
      </c>
      <c r="J78" s="4">
        <f t="shared" si="5"/>
        <v>58.699950345325689</v>
      </c>
      <c r="K78">
        <v>58</v>
      </c>
    </row>
    <row r="79" spans="1:11" x14ac:dyDescent="0.35">
      <c r="A79" t="s">
        <v>11</v>
      </c>
      <c r="B79" t="s">
        <v>18</v>
      </c>
      <c r="C79" t="s">
        <v>19</v>
      </c>
      <c r="D79">
        <v>9528</v>
      </c>
      <c r="E79">
        <v>20131</v>
      </c>
      <c r="F79">
        <v>932</v>
      </c>
      <c r="G79">
        <v>2007.26</v>
      </c>
      <c r="H79" s="4">
        <f t="shared" si="3"/>
        <v>4.6296756246584874</v>
      </c>
      <c r="I79" s="4">
        <f t="shared" si="4"/>
        <v>2.1537124463519315</v>
      </c>
      <c r="J79" s="4">
        <f t="shared" si="5"/>
        <v>99.709900153991356</v>
      </c>
      <c r="K79">
        <v>45</v>
      </c>
    </row>
    <row r="80" spans="1:11" x14ac:dyDescent="0.35">
      <c r="A80" t="s">
        <v>11</v>
      </c>
      <c r="B80" t="s">
        <v>18</v>
      </c>
      <c r="C80" t="s">
        <v>21</v>
      </c>
      <c r="D80">
        <v>10724</v>
      </c>
      <c r="E80">
        <v>27258</v>
      </c>
      <c r="F80">
        <v>1168</v>
      </c>
      <c r="G80">
        <v>2153.11</v>
      </c>
      <c r="H80" s="4">
        <f t="shared" si="3"/>
        <v>4.2849805561669969</v>
      </c>
      <c r="I80" s="4">
        <f t="shared" si="4"/>
        <v>1.8434160958904111</v>
      </c>
      <c r="J80" s="4">
        <f t="shared" si="5"/>
        <v>78.990021278156874</v>
      </c>
      <c r="K80">
        <v>112</v>
      </c>
    </row>
    <row r="81" spans="1:11" x14ac:dyDescent="0.35">
      <c r="A81" t="s">
        <v>11</v>
      </c>
      <c r="B81" t="s">
        <v>18</v>
      </c>
      <c r="C81" t="s">
        <v>21</v>
      </c>
      <c r="D81">
        <v>15956</v>
      </c>
      <c r="E81">
        <v>28628</v>
      </c>
      <c r="F81">
        <v>1100</v>
      </c>
      <c r="G81">
        <v>1897.75</v>
      </c>
      <c r="H81" s="4">
        <f t="shared" si="3"/>
        <v>3.8423920637138469</v>
      </c>
      <c r="I81" s="4">
        <f t="shared" si="4"/>
        <v>1.7252272727272728</v>
      </c>
      <c r="J81" s="4">
        <f t="shared" si="5"/>
        <v>66.289995808299565</v>
      </c>
      <c r="K81">
        <v>51</v>
      </c>
    </row>
    <row r="82" spans="1:11" x14ac:dyDescent="0.35">
      <c r="A82" t="s">
        <v>11</v>
      </c>
      <c r="B82" t="s">
        <v>18</v>
      </c>
      <c r="C82" t="s">
        <v>21</v>
      </c>
      <c r="D82">
        <v>11502</v>
      </c>
      <c r="E82">
        <v>28093</v>
      </c>
      <c r="F82">
        <v>788</v>
      </c>
      <c r="G82">
        <v>1996.01</v>
      </c>
      <c r="H82" s="4">
        <f t="shared" si="3"/>
        <v>2.8049692094115972</v>
      </c>
      <c r="I82" s="4">
        <f t="shared" si="4"/>
        <v>2.5330076142131981</v>
      </c>
      <c r="J82" s="4">
        <f t="shared" si="5"/>
        <v>71.050083650731494</v>
      </c>
      <c r="K82">
        <v>44</v>
      </c>
    </row>
    <row r="83" spans="1:11" x14ac:dyDescent="0.35">
      <c r="A83" t="s">
        <v>11</v>
      </c>
      <c r="B83" t="s">
        <v>18</v>
      </c>
      <c r="C83" t="s">
        <v>21</v>
      </c>
      <c r="D83">
        <v>8960</v>
      </c>
      <c r="E83">
        <v>17394</v>
      </c>
      <c r="F83">
        <v>1250</v>
      </c>
      <c r="G83">
        <v>822.04</v>
      </c>
      <c r="H83" s="4">
        <f t="shared" si="3"/>
        <v>7.1863861101529256</v>
      </c>
      <c r="I83" s="4">
        <f t="shared" si="4"/>
        <v>0.65763199999999999</v>
      </c>
      <c r="J83" s="4">
        <f t="shared" si="5"/>
        <v>47.259974703920889</v>
      </c>
      <c r="K83">
        <v>72</v>
      </c>
    </row>
    <row r="84" spans="1:11" x14ac:dyDescent="0.35">
      <c r="A84" t="s">
        <v>11</v>
      </c>
      <c r="B84" t="s">
        <v>18</v>
      </c>
      <c r="C84" t="s">
        <v>21</v>
      </c>
      <c r="D84">
        <v>14209</v>
      </c>
      <c r="E84">
        <v>18541</v>
      </c>
      <c r="F84">
        <v>1094</v>
      </c>
      <c r="G84">
        <v>991.57</v>
      </c>
      <c r="H84" s="4">
        <f t="shared" si="3"/>
        <v>5.9004368696402567</v>
      </c>
      <c r="I84" s="4">
        <f t="shared" si="4"/>
        <v>0.90637111517367464</v>
      </c>
      <c r="J84" s="4">
        <f t="shared" si="5"/>
        <v>53.47985545547705</v>
      </c>
      <c r="K84">
        <v>92</v>
      </c>
    </row>
    <row r="85" spans="1:11" x14ac:dyDescent="0.35">
      <c r="A85" t="s">
        <v>11</v>
      </c>
      <c r="B85" t="s">
        <v>18</v>
      </c>
      <c r="C85" t="s">
        <v>21</v>
      </c>
      <c r="D85">
        <v>14396</v>
      </c>
      <c r="E85">
        <v>23059</v>
      </c>
      <c r="F85">
        <v>1014</v>
      </c>
      <c r="G85">
        <v>1390.23</v>
      </c>
      <c r="H85" s="4">
        <f t="shared" si="3"/>
        <v>4.3974153259031183</v>
      </c>
      <c r="I85" s="4">
        <f t="shared" si="4"/>
        <v>1.3710355029585799</v>
      </c>
      <c r="J85" s="4">
        <f t="shared" si="5"/>
        <v>60.29012533067349</v>
      </c>
      <c r="K85">
        <v>85</v>
      </c>
    </row>
    <row r="86" spans="1:11" x14ac:dyDescent="0.35">
      <c r="A86" t="s">
        <v>11</v>
      </c>
      <c r="B86" t="s">
        <v>18</v>
      </c>
      <c r="C86" t="s">
        <v>21</v>
      </c>
      <c r="D86">
        <v>20846</v>
      </c>
      <c r="E86">
        <v>34553</v>
      </c>
      <c r="F86">
        <v>517</v>
      </c>
      <c r="G86">
        <v>2601.84</v>
      </c>
      <c r="H86" s="4">
        <f t="shared" si="3"/>
        <v>1.4962521344022226</v>
      </c>
      <c r="I86" s="4">
        <f t="shared" si="4"/>
        <v>5.0325725338491303</v>
      </c>
      <c r="J86" s="4">
        <f t="shared" si="5"/>
        <v>75.299973953057631</v>
      </c>
      <c r="K86">
        <v>58</v>
      </c>
    </row>
    <row r="87" spans="1:11" x14ac:dyDescent="0.35">
      <c r="A87" t="s">
        <v>11</v>
      </c>
      <c r="B87" t="s">
        <v>18</v>
      </c>
      <c r="C87" t="s">
        <v>21</v>
      </c>
      <c r="D87">
        <v>12673</v>
      </c>
      <c r="E87">
        <v>30335</v>
      </c>
      <c r="F87">
        <v>517</v>
      </c>
      <c r="G87">
        <v>1632.33</v>
      </c>
      <c r="H87" s="4">
        <f t="shared" si="3"/>
        <v>1.7043019614306907</v>
      </c>
      <c r="I87" s="4">
        <f t="shared" si="4"/>
        <v>3.157311411992263</v>
      </c>
      <c r="J87" s="4">
        <f t="shared" si="5"/>
        <v>53.810120323059174</v>
      </c>
      <c r="K87">
        <v>58</v>
      </c>
    </row>
    <row r="88" spans="1:11" x14ac:dyDescent="0.35">
      <c r="A88" t="s">
        <v>11</v>
      </c>
      <c r="B88" t="s">
        <v>18</v>
      </c>
      <c r="C88" t="s">
        <v>20</v>
      </c>
      <c r="D88">
        <v>19412</v>
      </c>
      <c r="E88">
        <v>34340</v>
      </c>
      <c r="F88">
        <v>808</v>
      </c>
      <c r="G88">
        <v>1827.23</v>
      </c>
      <c r="H88" s="4">
        <f t="shared" si="3"/>
        <v>2.3529411764705883</v>
      </c>
      <c r="I88" s="4">
        <f t="shared" si="4"/>
        <v>2.2614232673267325</v>
      </c>
      <c r="J88" s="4">
        <f t="shared" si="5"/>
        <v>53.20995923121724</v>
      </c>
      <c r="K88">
        <v>0</v>
      </c>
    </row>
    <row r="89" spans="1:11" x14ac:dyDescent="0.35">
      <c r="A89" t="s">
        <v>11</v>
      </c>
      <c r="B89" t="s">
        <v>18</v>
      </c>
      <c r="C89" t="s">
        <v>20</v>
      </c>
      <c r="D89">
        <v>18844</v>
      </c>
      <c r="E89">
        <v>32470</v>
      </c>
      <c r="F89">
        <v>974</v>
      </c>
      <c r="G89">
        <v>1437.12</v>
      </c>
      <c r="H89" s="4">
        <f t="shared" si="3"/>
        <v>2.999692023406221</v>
      </c>
      <c r="I89" s="4">
        <f t="shared" si="4"/>
        <v>1.475482546201232</v>
      </c>
      <c r="J89" s="4">
        <f t="shared" si="5"/>
        <v>44.259932245149365</v>
      </c>
      <c r="K89">
        <v>47</v>
      </c>
    </row>
    <row r="90" spans="1:11" x14ac:dyDescent="0.35">
      <c r="A90" t="s">
        <v>11</v>
      </c>
      <c r="B90" t="s">
        <v>18</v>
      </c>
      <c r="C90" t="s">
        <v>20</v>
      </c>
      <c r="D90">
        <v>10536</v>
      </c>
      <c r="E90">
        <v>19918</v>
      </c>
      <c r="F90">
        <v>594</v>
      </c>
      <c r="G90">
        <v>1551.01</v>
      </c>
      <c r="H90" s="4">
        <f t="shared" si="3"/>
        <v>2.9822271312380759</v>
      </c>
      <c r="I90" s="4">
        <f t="shared" si="4"/>
        <v>2.611127946127946</v>
      </c>
      <c r="J90" s="4">
        <f t="shared" si="5"/>
        <v>77.869766040767146</v>
      </c>
      <c r="K90">
        <v>0</v>
      </c>
    </row>
    <row r="91" spans="1:11" x14ac:dyDescent="0.35">
      <c r="A91" t="s">
        <v>11</v>
      </c>
      <c r="B91" t="s">
        <v>18</v>
      </c>
      <c r="C91" t="s">
        <v>20</v>
      </c>
      <c r="D91">
        <v>12861</v>
      </c>
      <c r="E91">
        <v>23852</v>
      </c>
      <c r="F91">
        <v>875</v>
      </c>
      <c r="G91">
        <v>1281.81</v>
      </c>
      <c r="H91" s="4">
        <f t="shared" si="3"/>
        <v>3.6684554754318297</v>
      </c>
      <c r="I91" s="4">
        <f t="shared" si="4"/>
        <v>1.4649257142857142</v>
      </c>
      <c r="J91" s="4">
        <f t="shared" si="5"/>
        <v>53.740147576723125</v>
      </c>
      <c r="K91">
        <v>73</v>
      </c>
    </row>
    <row r="92" spans="1:11" x14ac:dyDescent="0.35">
      <c r="A92" t="s">
        <v>11</v>
      </c>
      <c r="B92" t="s">
        <v>18</v>
      </c>
      <c r="C92" t="s">
        <v>20</v>
      </c>
      <c r="D92">
        <v>8958</v>
      </c>
      <c r="E92">
        <v>30978</v>
      </c>
      <c r="F92">
        <v>645</v>
      </c>
      <c r="G92">
        <v>2922.15</v>
      </c>
      <c r="H92" s="4">
        <f t="shared" si="3"/>
        <v>2.0821227968235521</v>
      </c>
      <c r="I92" s="4">
        <f t="shared" si="4"/>
        <v>4.5304651162790703</v>
      </c>
      <c r="J92" s="4">
        <f t="shared" si="5"/>
        <v>94.329846988185167</v>
      </c>
      <c r="K92">
        <v>44</v>
      </c>
    </row>
    <row r="93" spans="1:11" x14ac:dyDescent="0.35">
      <c r="A93" t="s">
        <v>11</v>
      </c>
      <c r="B93" t="s">
        <v>18</v>
      </c>
      <c r="C93" t="s">
        <v>20</v>
      </c>
      <c r="D93">
        <v>20054</v>
      </c>
      <c r="E93">
        <v>34953</v>
      </c>
      <c r="F93">
        <v>803</v>
      </c>
      <c r="G93">
        <v>3201</v>
      </c>
      <c r="H93" s="4">
        <f t="shared" si="3"/>
        <v>2.2973707550138758</v>
      </c>
      <c r="I93" s="4">
        <f t="shared" si="4"/>
        <v>3.9863013698630136</v>
      </c>
      <c r="J93" s="4">
        <f t="shared" si="5"/>
        <v>91.58012187795039</v>
      </c>
      <c r="K93">
        <v>73</v>
      </c>
    </row>
    <row r="94" spans="1:11" x14ac:dyDescent="0.35">
      <c r="A94" t="s">
        <v>12</v>
      </c>
      <c r="B94" t="s">
        <v>15</v>
      </c>
      <c r="C94" t="s">
        <v>19</v>
      </c>
      <c r="D94">
        <v>10998</v>
      </c>
      <c r="E94">
        <v>25276</v>
      </c>
      <c r="F94">
        <v>728</v>
      </c>
      <c r="G94">
        <v>1677.82</v>
      </c>
      <c r="H94" s="4">
        <f t="shared" si="3"/>
        <v>2.8802025636967876</v>
      </c>
      <c r="I94" s="4">
        <f t="shared" si="4"/>
        <v>2.304697802197802</v>
      </c>
      <c r="J94" s="4">
        <f t="shared" si="5"/>
        <v>66.379965184364607</v>
      </c>
      <c r="K94">
        <v>31</v>
      </c>
    </row>
    <row r="95" spans="1:11" x14ac:dyDescent="0.35">
      <c r="A95" t="s">
        <v>12</v>
      </c>
      <c r="B95" t="s">
        <v>15</v>
      </c>
      <c r="C95" t="s">
        <v>19</v>
      </c>
      <c r="D95">
        <v>10936</v>
      </c>
      <c r="E95">
        <v>16643</v>
      </c>
      <c r="F95">
        <v>306</v>
      </c>
      <c r="G95">
        <v>1355.07</v>
      </c>
      <c r="H95" s="4">
        <f t="shared" si="3"/>
        <v>1.8386108273748722</v>
      </c>
      <c r="I95" s="4">
        <f t="shared" si="4"/>
        <v>4.4283333333333328</v>
      </c>
      <c r="J95" s="4">
        <f t="shared" si="5"/>
        <v>81.419816138917255</v>
      </c>
      <c r="K95">
        <v>12</v>
      </c>
    </row>
    <row r="96" spans="1:11" x14ac:dyDescent="0.35">
      <c r="A96" t="s">
        <v>12</v>
      </c>
      <c r="B96" t="s">
        <v>15</v>
      </c>
      <c r="C96" t="s">
        <v>19</v>
      </c>
      <c r="D96">
        <v>19571</v>
      </c>
      <c r="E96">
        <v>33253</v>
      </c>
      <c r="F96">
        <v>329</v>
      </c>
      <c r="G96">
        <v>3997.34</v>
      </c>
      <c r="H96" s="4">
        <f t="shared" si="3"/>
        <v>0.98938441644362918</v>
      </c>
      <c r="I96" s="4">
        <f t="shared" si="4"/>
        <v>12.149969604863223</v>
      </c>
      <c r="J96" s="4">
        <f t="shared" si="5"/>
        <v>120.2099058731543</v>
      </c>
      <c r="K96">
        <v>19</v>
      </c>
    </row>
    <row r="97" spans="1:11" x14ac:dyDescent="0.35">
      <c r="A97" t="s">
        <v>12</v>
      </c>
      <c r="B97" t="s">
        <v>15</v>
      </c>
      <c r="C97" t="s">
        <v>20</v>
      </c>
      <c r="D97">
        <v>18238</v>
      </c>
      <c r="E97">
        <v>37679</v>
      </c>
      <c r="F97">
        <v>332</v>
      </c>
      <c r="G97">
        <v>2987.19</v>
      </c>
      <c r="H97" s="4">
        <f t="shared" si="3"/>
        <v>0.8811274184559037</v>
      </c>
      <c r="I97" s="4">
        <f t="shared" si="4"/>
        <v>8.9975602409638551</v>
      </c>
      <c r="J97" s="4">
        <f t="shared" si="5"/>
        <v>79.279970275219611</v>
      </c>
      <c r="K97">
        <v>0</v>
      </c>
    </row>
    <row r="98" spans="1:11" x14ac:dyDescent="0.35">
      <c r="A98" t="s">
        <v>12</v>
      </c>
      <c r="B98" t="s">
        <v>15</v>
      </c>
      <c r="C98" t="s">
        <v>21</v>
      </c>
      <c r="D98">
        <v>10931</v>
      </c>
      <c r="E98">
        <v>31640</v>
      </c>
      <c r="F98">
        <v>532</v>
      </c>
      <c r="G98">
        <v>4562.49</v>
      </c>
      <c r="H98" s="4">
        <f t="shared" si="3"/>
        <v>1.6814159292035398</v>
      </c>
      <c r="I98" s="4">
        <f t="shared" si="4"/>
        <v>8.5761090225563912</v>
      </c>
      <c r="J98" s="4">
        <f t="shared" si="5"/>
        <v>144.20006321112515</v>
      </c>
      <c r="K98">
        <v>51</v>
      </c>
    </row>
    <row r="99" spans="1:11" x14ac:dyDescent="0.35">
      <c r="A99" t="s">
        <v>12</v>
      </c>
      <c r="B99" t="s">
        <v>15</v>
      </c>
      <c r="C99" t="s">
        <v>21</v>
      </c>
      <c r="D99">
        <v>11312</v>
      </c>
      <c r="E99">
        <v>21089</v>
      </c>
      <c r="F99">
        <v>488</v>
      </c>
      <c r="G99">
        <v>2349.1</v>
      </c>
      <c r="H99" s="4">
        <f t="shared" si="3"/>
        <v>2.3140025605766041</v>
      </c>
      <c r="I99" s="4">
        <f t="shared" si="4"/>
        <v>4.8137295081967215</v>
      </c>
      <c r="J99" s="4">
        <f t="shared" si="5"/>
        <v>111.38982407890369</v>
      </c>
      <c r="K99">
        <v>48</v>
      </c>
    </row>
    <row r="100" spans="1:11" x14ac:dyDescent="0.35">
      <c r="A100" t="s">
        <v>12</v>
      </c>
      <c r="B100" t="s">
        <v>15</v>
      </c>
      <c r="C100" t="s">
        <v>20</v>
      </c>
      <c r="D100">
        <v>11113</v>
      </c>
      <c r="E100">
        <v>37125</v>
      </c>
      <c r="F100">
        <v>326</v>
      </c>
      <c r="G100">
        <v>4849.2700000000004</v>
      </c>
      <c r="H100" s="4">
        <f t="shared" si="3"/>
        <v>0.87811447811447818</v>
      </c>
      <c r="I100" s="4">
        <f t="shared" si="4"/>
        <v>14.875061349693253</v>
      </c>
      <c r="J100" s="4">
        <f t="shared" si="5"/>
        <v>130.62006734006735</v>
      </c>
      <c r="K100">
        <v>36</v>
      </c>
    </row>
    <row r="101" spans="1:11" x14ac:dyDescent="0.35">
      <c r="A101" t="s">
        <v>12</v>
      </c>
      <c r="B101" t="s">
        <v>15</v>
      </c>
      <c r="C101" t="s">
        <v>20</v>
      </c>
      <c r="D101">
        <v>24120</v>
      </c>
      <c r="E101">
        <v>35209</v>
      </c>
      <c r="F101">
        <v>709</v>
      </c>
      <c r="G101">
        <v>4671.18</v>
      </c>
      <c r="H101" s="4">
        <f t="shared" si="3"/>
        <v>2.0136896816154959</v>
      </c>
      <c r="I101" s="4">
        <f t="shared" si="4"/>
        <v>6.5884062059238371</v>
      </c>
      <c r="J101" s="4">
        <f t="shared" si="5"/>
        <v>132.6700559516033</v>
      </c>
      <c r="K101">
        <v>29</v>
      </c>
    </row>
    <row r="102" spans="1:11" x14ac:dyDescent="0.35">
      <c r="A102" t="s">
        <v>12</v>
      </c>
      <c r="B102" t="s">
        <v>15</v>
      </c>
      <c r="C102" t="s">
        <v>20</v>
      </c>
      <c r="D102">
        <v>16615</v>
      </c>
      <c r="E102">
        <v>25527</v>
      </c>
      <c r="F102">
        <v>648</v>
      </c>
      <c r="G102">
        <v>1969.15</v>
      </c>
      <c r="H102" s="4">
        <f t="shared" si="3"/>
        <v>2.5384886590668705</v>
      </c>
      <c r="I102" s="4">
        <f t="shared" si="4"/>
        <v>3.038811728395062</v>
      </c>
      <c r="J102" s="4">
        <f t="shared" si="5"/>
        <v>77.139891095702581</v>
      </c>
      <c r="K102">
        <v>34</v>
      </c>
    </row>
    <row r="103" spans="1:11" x14ac:dyDescent="0.35">
      <c r="A103" t="s">
        <v>12</v>
      </c>
      <c r="B103" t="s">
        <v>15</v>
      </c>
      <c r="C103" t="s">
        <v>20</v>
      </c>
      <c r="D103">
        <v>24586</v>
      </c>
      <c r="E103">
        <v>41294</v>
      </c>
      <c r="F103">
        <v>333</v>
      </c>
      <c r="G103">
        <v>2837.72</v>
      </c>
      <c r="H103" s="4">
        <f t="shared" si="3"/>
        <v>0.8064125538819199</v>
      </c>
      <c r="I103" s="4">
        <f t="shared" si="4"/>
        <v>8.5216816816816809</v>
      </c>
      <c r="J103" s="4">
        <f t="shared" si="5"/>
        <v>68.719910882936986</v>
      </c>
      <c r="K103">
        <v>0</v>
      </c>
    </row>
    <row r="104" spans="1:11" x14ac:dyDescent="0.35">
      <c r="A104" t="s">
        <v>12</v>
      </c>
      <c r="B104" t="s">
        <v>15</v>
      </c>
      <c r="C104" t="s">
        <v>21</v>
      </c>
      <c r="D104">
        <v>14033</v>
      </c>
      <c r="E104">
        <v>37212</v>
      </c>
      <c r="F104">
        <v>715</v>
      </c>
      <c r="G104">
        <v>3676.17</v>
      </c>
      <c r="H104" s="4">
        <f t="shared" si="3"/>
        <v>1.9214231968182307</v>
      </c>
      <c r="I104" s="4">
        <f t="shared" si="4"/>
        <v>5.1414965034965032</v>
      </c>
      <c r="J104" s="4">
        <f t="shared" si="5"/>
        <v>98.789906481780065</v>
      </c>
      <c r="K104">
        <v>43</v>
      </c>
    </row>
    <row r="105" spans="1:11" x14ac:dyDescent="0.35">
      <c r="A105" t="s">
        <v>12</v>
      </c>
      <c r="B105" t="s">
        <v>15</v>
      </c>
      <c r="C105" t="s">
        <v>21</v>
      </c>
      <c r="D105">
        <v>19740</v>
      </c>
      <c r="E105">
        <v>26313</v>
      </c>
      <c r="F105">
        <v>710</v>
      </c>
      <c r="G105">
        <v>2581.83</v>
      </c>
      <c r="H105" s="4">
        <f t="shared" si="3"/>
        <v>2.6982860183179418</v>
      </c>
      <c r="I105" s="4">
        <f t="shared" si="4"/>
        <v>3.6363802816901409</v>
      </c>
      <c r="J105" s="4">
        <f t="shared" si="5"/>
        <v>98.11994071371565</v>
      </c>
      <c r="K105">
        <v>0</v>
      </c>
    </row>
    <row r="106" spans="1:11" x14ac:dyDescent="0.35">
      <c r="A106" t="s">
        <v>12</v>
      </c>
      <c r="B106" t="s">
        <v>15</v>
      </c>
      <c r="C106" t="s">
        <v>19</v>
      </c>
      <c r="D106">
        <v>20147</v>
      </c>
      <c r="E106">
        <v>27534</v>
      </c>
      <c r="F106">
        <v>568</v>
      </c>
      <c r="G106">
        <v>2809.29</v>
      </c>
      <c r="H106" s="4">
        <f t="shared" si="3"/>
        <v>2.0629040459068788</v>
      </c>
      <c r="I106" s="4">
        <f t="shared" si="4"/>
        <v>4.9459330985915493</v>
      </c>
      <c r="J106" s="4">
        <f t="shared" si="5"/>
        <v>102.02985399869252</v>
      </c>
      <c r="K106">
        <v>54</v>
      </c>
    </row>
    <row r="107" spans="1:11" x14ac:dyDescent="0.35">
      <c r="A107" t="s">
        <v>12</v>
      </c>
      <c r="B107" t="s">
        <v>15</v>
      </c>
      <c r="C107" t="s">
        <v>20</v>
      </c>
      <c r="D107">
        <v>16868</v>
      </c>
      <c r="E107">
        <v>32698</v>
      </c>
      <c r="F107">
        <v>354</v>
      </c>
      <c r="G107">
        <v>4107.5200000000004</v>
      </c>
      <c r="H107" s="4">
        <f t="shared" si="3"/>
        <v>1.0826350235488409</v>
      </c>
      <c r="I107" s="4">
        <f t="shared" si="4"/>
        <v>11.603163841807911</v>
      </c>
      <c r="J107" s="4">
        <f t="shared" si="5"/>
        <v>125.61991559116767</v>
      </c>
      <c r="K107">
        <v>0</v>
      </c>
    </row>
    <row r="108" spans="1:11" x14ac:dyDescent="0.35">
      <c r="A108" t="s">
        <v>12</v>
      </c>
      <c r="B108" t="s">
        <v>15</v>
      </c>
      <c r="C108" t="s">
        <v>20</v>
      </c>
      <c r="D108">
        <v>19562</v>
      </c>
      <c r="E108">
        <v>34690</v>
      </c>
      <c r="F108">
        <v>340</v>
      </c>
      <c r="G108">
        <v>4183.6099999999997</v>
      </c>
      <c r="H108" s="4">
        <f t="shared" si="3"/>
        <v>0.98010954165465547</v>
      </c>
      <c r="I108" s="4">
        <f t="shared" si="4"/>
        <v>12.304735294117647</v>
      </c>
      <c r="J108" s="4">
        <f t="shared" si="5"/>
        <v>120.59988469299509</v>
      </c>
      <c r="K108">
        <v>20</v>
      </c>
    </row>
    <row r="109" spans="1:11" x14ac:dyDescent="0.35">
      <c r="A109" t="s">
        <v>12</v>
      </c>
      <c r="B109" t="s">
        <v>15</v>
      </c>
      <c r="C109" t="s">
        <v>20</v>
      </c>
      <c r="D109">
        <v>18565</v>
      </c>
      <c r="E109">
        <v>29317</v>
      </c>
      <c r="F109">
        <v>576</v>
      </c>
      <c r="G109">
        <v>4355.63</v>
      </c>
      <c r="H109" s="4">
        <f t="shared" si="3"/>
        <v>1.9647303612238634</v>
      </c>
      <c r="I109" s="4">
        <f t="shared" si="4"/>
        <v>7.5618576388888892</v>
      </c>
      <c r="J109" s="4">
        <f t="shared" si="5"/>
        <v>148.57011290377596</v>
      </c>
      <c r="K109">
        <v>57</v>
      </c>
    </row>
    <row r="110" spans="1:11" x14ac:dyDescent="0.35">
      <c r="A110" t="s">
        <v>12</v>
      </c>
      <c r="B110" t="s">
        <v>15</v>
      </c>
      <c r="C110" t="s">
        <v>19</v>
      </c>
      <c r="D110">
        <v>14272</v>
      </c>
      <c r="E110">
        <v>25246</v>
      </c>
      <c r="F110">
        <v>525</v>
      </c>
      <c r="G110">
        <v>1738.44</v>
      </c>
      <c r="H110" s="4">
        <f t="shared" si="3"/>
        <v>2.0795373524518737</v>
      </c>
      <c r="I110" s="4">
        <f t="shared" si="4"/>
        <v>3.3113142857142859</v>
      </c>
      <c r="J110" s="4">
        <f t="shared" si="5"/>
        <v>68.860017428503539</v>
      </c>
      <c r="K110">
        <v>23</v>
      </c>
    </row>
    <row r="111" spans="1:11" x14ac:dyDescent="0.35">
      <c r="A111" t="s">
        <v>12</v>
      </c>
      <c r="B111" t="s">
        <v>15</v>
      </c>
      <c r="C111" t="s">
        <v>19</v>
      </c>
      <c r="D111">
        <v>20972</v>
      </c>
      <c r="E111">
        <v>32410</v>
      </c>
      <c r="F111">
        <v>165</v>
      </c>
      <c r="G111">
        <v>3119.14</v>
      </c>
      <c r="H111" s="4">
        <f t="shared" si="3"/>
        <v>0.50910212897253937</v>
      </c>
      <c r="I111" s="4">
        <f t="shared" si="4"/>
        <v>18.903878787878789</v>
      </c>
      <c r="J111" s="4">
        <f t="shared" si="5"/>
        <v>96.240049367479173</v>
      </c>
      <c r="K111">
        <v>8</v>
      </c>
    </row>
    <row r="112" spans="1:11" x14ac:dyDescent="0.35">
      <c r="A112" t="s">
        <v>12</v>
      </c>
      <c r="B112" t="s">
        <v>15</v>
      </c>
      <c r="C112" t="s">
        <v>20</v>
      </c>
      <c r="D112">
        <v>13910</v>
      </c>
      <c r="E112">
        <v>26786</v>
      </c>
      <c r="F112">
        <v>216</v>
      </c>
      <c r="G112">
        <v>2425.1999999999998</v>
      </c>
      <c r="H112" s="4">
        <f t="shared" si="3"/>
        <v>0.80639139849174934</v>
      </c>
      <c r="I112" s="4">
        <f t="shared" si="4"/>
        <v>11.227777777777776</v>
      </c>
      <c r="J112" s="4">
        <f t="shared" si="5"/>
        <v>90.539834241768077</v>
      </c>
      <c r="K112">
        <v>0</v>
      </c>
    </row>
    <row r="113" spans="1:11" x14ac:dyDescent="0.35">
      <c r="A113" t="s">
        <v>12</v>
      </c>
      <c r="B113" t="s">
        <v>15</v>
      </c>
      <c r="C113" t="s">
        <v>20</v>
      </c>
      <c r="D113">
        <v>16484</v>
      </c>
      <c r="E113">
        <v>25717</v>
      </c>
      <c r="F113">
        <v>519</v>
      </c>
      <c r="G113">
        <v>3537.37</v>
      </c>
      <c r="H113" s="4">
        <f t="shared" si="3"/>
        <v>2.0181203095228839</v>
      </c>
      <c r="I113" s="4">
        <f t="shared" si="4"/>
        <v>6.8157418111753367</v>
      </c>
      <c r="J113" s="4">
        <f t="shared" si="5"/>
        <v>137.54986973597229</v>
      </c>
      <c r="K113">
        <v>25</v>
      </c>
    </row>
    <row r="114" spans="1:11" x14ac:dyDescent="0.35">
      <c r="A114" t="s">
        <v>12</v>
      </c>
      <c r="B114" t="s">
        <v>16</v>
      </c>
      <c r="C114" t="s">
        <v>19</v>
      </c>
      <c r="D114">
        <v>21004</v>
      </c>
      <c r="E114">
        <v>37880</v>
      </c>
      <c r="F114">
        <v>238</v>
      </c>
      <c r="G114">
        <v>3120.55</v>
      </c>
      <c r="H114" s="4">
        <f t="shared" si="3"/>
        <v>0.62829989440337908</v>
      </c>
      <c r="I114" s="4">
        <f t="shared" si="4"/>
        <v>13.11155462184874</v>
      </c>
      <c r="J114" s="4">
        <f t="shared" si="5"/>
        <v>82.379883843716996</v>
      </c>
      <c r="K114">
        <v>0</v>
      </c>
    </row>
    <row r="115" spans="1:11" x14ac:dyDescent="0.35">
      <c r="A115" t="s">
        <v>12</v>
      </c>
      <c r="B115" t="s">
        <v>16</v>
      </c>
      <c r="C115" t="s">
        <v>19</v>
      </c>
      <c r="D115">
        <v>14915</v>
      </c>
      <c r="E115">
        <v>34371</v>
      </c>
      <c r="F115">
        <v>330</v>
      </c>
      <c r="G115">
        <v>2650.69</v>
      </c>
      <c r="H115" s="4">
        <f t="shared" si="3"/>
        <v>0.9601117220912978</v>
      </c>
      <c r="I115" s="4">
        <f t="shared" si="4"/>
        <v>8.0323939393939394</v>
      </c>
      <c r="J115" s="4">
        <f t="shared" si="5"/>
        <v>77.119955776672199</v>
      </c>
      <c r="K115">
        <v>33</v>
      </c>
    </row>
    <row r="116" spans="1:11" x14ac:dyDescent="0.35">
      <c r="A116" t="s">
        <v>12</v>
      </c>
      <c r="B116" t="s">
        <v>16</v>
      </c>
      <c r="C116" t="s">
        <v>20</v>
      </c>
      <c r="D116">
        <v>15180</v>
      </c>
      <c r="E116">
        <v>22111</v>
      </c>
      <c r="F116">
        <v>559</v>
      </c>
      <c r="G116">
        <v>2219.5</v>
      </c>
      <c r="H116" s="4">
        <f t="shared" si="3"/>
        <v>2.5281534078060695</v>
      </c>
      <c r="I116" s="4">
        <f t="shared" si="4"/>
        <v>3.9704830053667264</v>
      </c>
      <c r="J116" s="4">
        <f t="shared" si="5"/>
        <v>100.37990140653973</v>
      </c>
      <c r="K116">
        <v>0</v>
      </c>
    </row>
    <row r="117" spans="1:11" x14ac:dyDescent="0.35">
      <c r="A117" t="s">
        <v>12</v>
      </c>
      <c r="B117" t="s">
        <v>16</v>
      </c>
      <c r="C117" t="s">
        <v>20</v>
      </c>
      <c r="D117">
        <v>10152</v>
      </c>
      <c r="E117">
        <v>30017</v>
      </c>
      <c r="F117">
        <v>226</v>
      </c>
      <c r="G117">
        <v>2940.77</v>
      </c>
      <c r="H117" s="4">
        <f t="shared" si="3"/>
        <v>0.75290668621114698</v>
      </c>
      <c r="I117" s="4">
        <f t="shared" si="4"/>
        <v>13.012256637168141</v>
      </c>
      <c r="J117" s="4">
        <f t="shared" si="5"/>
        <v>97.970150248192695</v>
      </c>
      <c r="K117">
        <v>22</v>
      </c>
    </row>
    <row r="118" spans="1:11" x14ac:dyDescent="0.35">
      <c r="A118" t="s">
        <v>12</v>
      </c>
      <c r="B118" t="s">
        <v>16</v>
      </c>
      <c r="C118" t="s">
        <v>20</v>
      </c>
      <c r="D118">
        <v>20177</v>
      </c>
      <c r="E118">
        <v>35454</v>
      </c>
      <c r="F118">
        <v>483</v>
      </c>
      <c r="G118">
        <v>3016.07</v>
      </c>
      <c r="H118" s="4">
        <f t="shared" si="3"/>
        <v>1.3623286512100188</v>
      </c>
      <c r="I118" s="4">
        <f t="shared" si="4"/>
        <v>6.244451345755694</v>
      </c>
      <c r="J118" s="4">
        <f t="shared" si="5"/>
        <v>85.069949794099401</v>
      </c>
      <c r="K118">
        <v>42</v>
      </c>
    </row>
    <row r="119" spans="1:11" x14ac:dyDescent="0.35">
      <c r="A119" t="s">
        <v>12</v>
      </c>
      <c r="B119" t="s">
        <v>16</v>
      </c>
      <c r="C119" t="s">
        <v>20</v>
      </c>
      <c r="D119">
        <v>11638</v>
      </c>
      <c r="E119">
        <v>17529</v>
      </c>
      <c r="F119">
        <v>296</v>
      </c>
      <c r="G119">
        <v>1445.79</v>
      </c>
      <c r="H119" s="4">
        <f t="shared" si="3"/>
        <v>1.6886302698385531</v>
      </c>
      <c r="I119" s="4">
        <f t="shared" si="4"/>
        <v>4.8844256756756756</v>
      </c>
      <c r="J119" s="4">
        <f t="shared" si="5"/>
        <v>82.479890467225744</v>
      </c>
      <c r="K119">
        <v>16</v>
      </c>
    </row>
    <row r="120" spans="1:11" x14ac:dyDescent="0.35">
      <c r="A120" t="s">
        <v>12</v>
      </c>
      <c r="B120" t="s">
        <v>16</v>
      </c>
      <c r="C120" t="s">
        <v>20</v>
      </c>
      <c r="D120">
        <v>18808</v>
      </c>
      <c r="E120">
        <v>27942</v>
      </c>
      <c r="F120">
        <v>303</v>
      </c>
      <c r="G120">
        <v>3998.22</v>
      </c>
      <c r="H120" s="4">
        <f t="shared" si="3"/>
        <v>1.084389091689929</v>
      </c>
      <c r="I120" s="4">
        <f t="shared" si="4"/>
        <v>13.195445544554454</v>
      </c>
      <c r="J120" s="4">
        <f t="shared" si="5"/>
        <v>143.08997208503328</v>
      </c>
      <c r="K120">
        <v>19</v>
      </c>
    </row>
    <row r="121" spans="1:11" x14ac:dyDescent="0.35">
      <c r="A121" t="s">
        <v>12</v>
      </c>
      <c r="B121" t="s">
        <v>16</v>
      </c>
      <c r="C121" t="s">
        <v>20</v>
      </c>
      <c r="D121">
        <v>18288</v>
      </c>
      <c r="E121">
        <v>28119</v>
      </c>
      <c r="F121">
        <v>225</v>
      </c>
      <c r="G121">
        <v>2808.53</v>
      </c>
      <c r="H121" s="4">
        <f t="shared" si="3"/>
        <v>0.80017070308332439</v>
      </c>
      <c r="I121" s="4">
        <f t="shared" si="4"/>
        <v>12.482355555555557</v>
      </c>
      <c r="J121" s="4">
        <f t="shared" si="5"/>
        <v>99.880152210249307</v>
      </c>
      <c r="K121">
        <v>11</v>
      </c>
    </row>
    <row r="122" spans="1:11" x14ac:dyDescent="0.35">
      <c r="A122" t="s">
        <v>12</v>
      </c>
      <c r="B122" t="s">
        <v>16</v>
      </c>
      <c r="C122" t="s">
        <v>21</v>
      </c>
      <c r="D122">
        <v>12170</v>
      </c>
      <c r="E122">
        <v>27257</v>
      </c>
      <c r="F122">
        <v>636</v>
      </c>
      <c r="G122">
        <v>3748.38</v>
      </c>
      <c r="H122" s="4">
        <f t="shared" si="3"/>
        <v>2.3333455626077706</v>
      </c>
      <c r="I122" s="4">
        <f t="shared" si="4"/>
        <v>5.8936792452830193</v>
      </c>
      <c r="J122" s="4">
        <f t="shared" si="5"/>
        <v>137.51990314414647</v>
      </c>
      <c r="K122">
        <v>72</v>
      </c>
    </row>
    <row r="123" spans="1:11" x14ac:dyDescent="0.35">
      <c r="A123" t="s">
        <v>12</v>
      </c>
      <c r="B123" t="s">
        <v>16</v>
      </c>
      <c r="C123" t="s">
        <v>19</v>
      </c>
      <c r="D123">
        <v>24432</v>
      </c>
      <c r="E123">
        <v>32888</v>
      </c>
      <c r="F123">
        <v>680</v>
      </c>
      <c r="G123">
        <v>3602.22</v>
      </c>
      <c r="H123" s="4">
        <f t="shared" si="3"/>
        <v>2.0676234492824133</v>
      </c>
      <c r="I123" s="4">
        <f t="shared" si="4"/>
        <v>5.2973823529411765</v>
      </c>
      <c r="J123" s="4">
        <f t="shared" si="5"/>
        <v>109.5299197275602</v>
      </c>
      <c r="K123">
        <v>21</v>
      </c>
    </row>
    <row r="124" spans="1:11" x14ac:dyDescent="0.35">
      <c r="A124" t="s">
        <v>12</v>
      </c>
      <c r="B124" t="s">
        <v>16</v>
      </c>
      <c r="C124" t="s">
        <v>19</v>
      </c>
      <c r="D124">
        <v>24405</v>
      </c>
      <c r="E124">
        <v>35728</v>
      </c>
      <c r="F124">
        <v>338</v>
      </c>
      <c r="G124">
        <v>2306.2399999999998</v>
      </c>
      <c r="H124" s="4">
        <f t="shared" si="3"/>
        <v>0.94603672189879084</v>
      </c>
      <c r="I124" s="4">
        <f t="shared" si="4"/>
        <v>6.8231952662721884</v>
      </c>
      <c r="J124" s="4">
        <f t="shared" si="5"/>
        <v>64.549932825794897</v>
      </c>
      <c r="K124">
        <v>21</v>
      </c>
    </row>
    <row r="125" spans="1:11" x14ac:dyDescent="0.35">
      <c r="A125" t="s">
        <v>12</v>
      </c>
      <c r="B125" t="s">
        <v>16</v>
      </c>
      <c r="C125" t="s">
        <v>20</v>
      </c>
      <c r="D125">
        <v>16054</v>
      </c>
      <c r="E125">
        <v>30208</v>
      </c>
      <c r="F125">
        <v>304</v>
      </c>
      <c r="G125">
        <v>4529.3900000000003</v>
      </c>
      <c r="H125" s="4">
        <f t="shared" si="3"/>
        <v>1.0063559322033897</v>
      </c>
      <c r="I125" s="4">
        <f t="shared" si="4"/>
        <v>14.899309210526317</v>
      </c>
      <c r="J125" s="4">
        <f t="shared" si="5"/>
        <v>149.94008209745763</v>
      </c>
      <c r="K125">
        <v>22</v>
      </c>
    </row>
    <row r="126" spans="1:11" x14ac:dyDescent="0.35">
      <c r="A126" t="s">
        <v>12</v>
      </c>
      <c r="B126" t="s">
        <v>16</v>
      </c>
      <c r="C126" t="s">
        <v>21</v>
      </c>
      <c r="D126">
        <v>12584</v>
      </c>
      <c r="E126">
        <v>30717</v>
      </c>
      <c r="F126">
        <v>331</v>
      </c>
      <c r="G126">
        <v>4154.17</v>
      </c>
      <c r="H126" s="4">
        <f t="shared" si="3"/>
        <v>1.0775791906761727</v>
      </c>
      <c r="I126" s="4">
        <f t="shared" si="4"/>
        <v>12.55036253776435</v>
      </c>
      <c r="J126" s="4">
        <f t="shared" si="5"/>
        <v>135.24009506136667</v>
      </c>
      <c r="K126">
        <v>31</v>
      </c>
    </row>
    <row r="127" spans="1:11" x14ac:dyDescent="0.35">
      <c r="A127" t="s">
        <v>12</v>
      </c>
      <c r="B127" t="s">
        <v>16</v>
      </c>
      <c r="C127" t="s">
        <v>20</v>
      </c>
      <c r="D127">
        <v>23660</v>
      </c>
      <c r="E127">
        <v>39658</v>
      </c>
      <c r="F127">
        <v>342</v>
      </c>
      <c r="G127">
        <v>5838.05</v>
      </c>
      <c r="H127" s="4">
        <f t="shared" si="3"/>
        <v>0.86237329164355236</v>
      </c>
      <c r="I127" s="4">
        <f t="shared" si="4"/>
        <v>17.0703216374269</v>
      </c>
      <c r="J127" s="4">
        <f t="shared" si="5"/>
        <v>147.20989459881991</v>
      </c>
      <c r="K127">
        <v>28</v>
      </c>
    </row>
    <row r="128" spans="1:11" x14ac:dyDescent="0.35">
      <c r="A128" t="s">
        <v>12</v>
      </c>
      <c r="B128" t="s">
        <v>16</v>
      </c>
      <c r="C128" t="s">
        <v>20</v>
      </c>
      <c r="D128">
        <v>21526</v>
      </c>
      <c r="E128">
        <v>32939</v>
      </c>
      <c r="F128">
        <v>511</v>
      </c>
      <c r="G128">
        <v>4722.46</v>
      </c>
      <c r="H128" s="4">
        <f t="shared" si="3"/>
        <v>1.5513525000758979</v>
      </c>
      <c r="I128" s="4">
        <f t="shared" si="4"/>
        <v>9.2416046966731891</v>
      </c>
      <c r="J128" s="4">
        <f t="shared" si="5"/>
        <v>143.36986550897112</v>
      </c>
      <c r="K128">
        <v>44</v>
      </c>
    </row>
    <row r="129" spans="1:11" x14ac:dyDescent="0.35">
      <c r="A129" t="s">
        <v>12</v>
      </c>
      <c r="B129" t="s">
        <v>16</v>
      </c>
      <c r="C129" t="s">
        <v>21</v>
      </c>
      <c r="D129">
        <v>20021</v>
      </c>
      <c r="E129">
        <v>36741</v>
      </c>
      <c r="F129">
        <v>542</v>
      </c>
      <c r="G129">
        <v>5010.74</v>
      </c>
      <c r="H129" s="4">
        <f t="shared" si="3"/>
        <v>1.47519120328788</v>
      </c>
      <c r="I129" s="4">
        <f t="shared" si="4"/>
        <v>9.2449077490774911</v>
      </c>
      <c r="J129" s="4">
        <f t="shared" si="5"/>
        <v>136.38006586647069</v>
      </c>
      <c r="K129">
        <v>54</v>
      </c>
    </row>
    <row r="130" spans="1:11" x14ac:dyDescent="0.35">
      <c r="A130" t="s">
        <v>12</v>
      </c>
      <c r="B130" t="s">
        <v>16</v>
      </c>
      <c r="C130" t="s">
        <v>21</v>
      </c>
      <c r="D130">
        <v>18666</v>
      </c>
      <c r="E130">
        <v>24393</v>
      </c>
      <c r="F130">
        <v>455</v>
      </c>
      <c r="G130">
        <v>1828.74</v>
      </c>
      <c r="H130" s="4">
        <f t="shared" si="3"/>
        <v>1.8652892223178781</v>
      </c>
      <c r="I130" s="4">
        <f t="shared" si="4"/>
        <v>4.0192087912087908</v>
      </c>
      <c r="J130" s="4">
        <f t="shared" si="5"/>
        <v>74.96986840487024</v>
      </c>
      <c r="K130">
        <v>35</v>
      </c>
    </row>
    <row r="131" spans="1:11" x14ac:dyDescent="0.35">
      <c r="A131" t="s">
        <v>12</v>
      </c>
      <c r="B131" t="s">
        <v>16</v>
      </c>
      <c r="C131" t="s">
        <v>21</v>
      </c>
      <c r="D131">
        <v>20942</v>
      </c>
      <c r="E131">
        <v>36310</v>
      </c>
      <c r="F131">
        <v>344</v>
      </c>
      <c r="G131">
        <v>3765.71</v>
      </c>
      <c r="H131" s="4">
        <f t="shared" ref="H131:H194" si="6">F131/E131*100</f>
        <v>0.94739741118149268</v>
      </c>
      <c r="I131" s="4">
        <f t="shared" ref="I131:I194" si="7">G131/F131</f>
        <v>10.946831395348838</v>
      </c>
      <c r="J131" s="4">
        <f t="shared" ref="J131:J194" si="8">G131/E131*1000</f>
        <v>103.70999724593776</v>
      </c>
      <c r="K131">
        <v>0</v>
      </c>
    </row>
    <row r="132" spans="1:11" x14ac:dyDescent="0.35">
      <c r="A132" t="s">
        <v>12</v>
      </c>
      <c r="B132" t="s">
        <v>16</v>
      </c>
      <c r="C132" t="s">
        <v>19</v>
      </c>
      <c r="D132">
        <v>14905</v>
      </c>
      <c r="E132">
        <v>22770</v>
      </c>
      <c r="F132">
        <v>275</v>
      </c>
      <c r="G132">
        <v>1804.29</v>
      </c>
      <c r="H132" s="4">
        <f t="shared" si="6"/>
        <v>1.2077294685990339</v>
      </c>
      <c r="I132" s="4">
        <f t="shared" si="7"/>
        <v>6.561054545454545</v>
      </c>
      <c r="J132" s="4">
        <f t="shared" si="8"/>
        <v>79.239789196310937</v>
      </c>
      <c r="K132">
        <v>16</v>
      </c>
    </row>
    <row r="133" spans="1:11" x14ac:dyDescent="0.35">
      <c r="A133" t="s">
        <v>12</v>
      </c>
      <c r="B133" t="s">
        <v>16</v>
      </c>
      <c r="C133" t="s">
        <v>19</v>
      </c>
      <c r="D133">
        <v>24387</v>
      </c>
      <c r="E133">
        <v>33903</v>
      </c>
      <c r="F133">
        <v>461</v>
      </c>
      <c r="G133">
        <v>3257.74</v>
      </c>
      <c r="H133" s="4">
        <f t="shared" si="6"/>
        <v>1.3597616730082882</v>
      </c>
      <c r="I133" s="4">
        <f t="shared" si="7"/>
        <v>7.0666811279826458</v>
      </c>
      <c r="J133" s="4">
        <f t="shared" si="8"/>
        <v>96.090021532017801</v>
      </c>
      <c r="K133">
        <v>12</v>
      </c>
    </row>
    <row r="134" spans="1:11" x14ac:dyDescent="0.35">
      <c r="A134" t="s">
        <v>12</v>
      </c>
      <c r="B134" t="s">
        <v>16</v>
      </c>
      <c r="C134" t="s">
        <v>20</v>
      </c>
      <c r="D134">
        <v>14333</v>
      </c>
      <c r="E134">
        <v>22414</v>
      </c>
      <c r="F134">
        <v>487</v>
      </c>
      <c r="G134">
        <v>1463.19</v>
      </c>
      <c r="H134" s="4">
        <f t="shared" si="6"/>
        <v>2.1727491746230032</v>
      </c>
      <c r="I134" s="4">
        <f t="shared" si="7"/>
        <v>3.0044969199178646</v>
      </c>
      <c r="J134" s="4">
        <f t="shared" si="8"/>
        <v>65.280182029088962</v>
      </c>
      <c r="K134">
        <v>0</v>
      </c>
    </row>
    <row r="135" spans="1:11" x14ac:dyDescent="0.35">
      <c r="A135" t="s">
        <v>12</v>
      </c>
      <c r="B135" t="s">
        <v>17</v>
      </c>
      <c r="C135" t="s">
        <v>20</v>
      </c>
      <c r="D135">
        <v>24577</v>
      </c>
      <c r="E135">
        <v>33703</v>
      </c>
      <c r="F135">
        <v>341</v>
      </c>
      <c r="G135">
        <v>3171.79</v>
      </c>
      <c r="H135" s="4">
        <f t="shared" si="6"/>
        <v>1.0117793668219446</v>
      </c>
      <c r="I135" s="4">
        <f t="shared" si="7"/>
        <v>9.301436950146627</v>
      </c>
      <c r="J135" s="4">
        <f t="shared" si="8"/>
        <v>94.11001987953594</v>
      </c>
      <c r="K135">
        <v>34</v>
      </c>
    </row>
    <row r="136" spans="1:11" x14ac:dyDescent="0.35">
      <c r="A136" t="s">
        <v>12</v>
      </c>
      <c r="B136" t="s">
        <v>17</v>
      </c>
      <c r="C136" t="s">
        <v>21</v>
      </c>
      <c r="D136">
        <v>22163</v>
      </c>
      <c r="E136">
        <v>37875</v>
      </c>
      <c r="F136">
        <v>642</v>
      </c>
      <c r="G136">
        <v>5631.26</v>
      </c>
      <c r="H136" s="4">
        <f t="shared" si="6"/>
        <v>1.6950495049504952</v>
      </c>
      <c r="I136" s="4">
        <f t="shared" si="7"/>
        <v>8.7714330218068532</v>
      </c>
      <c r="J136" s="4">
        <f t="shared" si="8"/>
        <v>148.68013201320133</v>
      </c>
      <c r="K136">
        <v>50</v>
      </c>
    </row>
    <row r="137" spans="1:11" x14ac:dyDescent="0.35">
      <c r="A137" t="s">
        <v>12</v>
      </c>
      <c r="B137" t="s">
        <v>17</v>
      </c>
      <c r="C137" t="s">
        <v>21</v>
      </c>
      <c r="D137">
        <v>12546</v>
      </c>
      <c r="E137">
        <v>25233</v>
      </c>
      <c r="F137">
        <v>811</v>
      </c>
      <c r="G137">
        <v>2116.29</v>
      </c>
      <c r="H137" s="4">
        <f t="shared" si="6"/>
        <v>3.2140450996710661</v>
      </c>
      <c r="I137" s="4">
        <f t="shared" si="7"/>
        <v>2.6094821208384711</v>
      </c>
      <c r="J137" s="4">
        <f t="shared" si="8"/>
        <v>83.869932231601467</v>
      </c>
      <c r="K137">
        <v>68</v>
      </c>
    </row>
    <row r="138" spans="1:11" x14ac:dyDescent="0.35">
      <c r="A138" t="s">
        <v>12</v>
      </c>
      <c r="B138" t="s">
        <v>17</v>
      </c>
      <c r="C138" t="s">
        <v>21</v>
      </c>
      <c r="D138">
        <v>14616</v>
      </c>
      <c r="E138">
        <v>25901</v>
      </c>
      <c r="F138">
        <v>380</v>
      </c>
      <c r="G138">
        <v>3381.89</v>
      </c>
      <c r="H138" s="4">
        <f t="shared" si="6"/>
        <v>1.467124821435466</v>
      </c>
      <c r="I138" s="4">
        <f t="shared" si="7"/>
        <v>8.8997105263157898</v>
      </c>
      <c r="J138" s="4">
        <f t="shared" si="8"/>
        <v>130.56986216748388</v>
      </c>
      <c r="K138">
        <v>42</v>
      </c>
    </row>
    <row r="139" spans="1:11" x14ac:dyDescent="0.35">
      <c r="A139" t="s">
        <v>12</v>
      </c>
      <c r="B139" t="s">
        <v>17</v>
      </c>
      <c r="C139" t="s">
        <v>19</v>
      </c>
      <c r="D139">
        <v>21757</v>
      </c>
      <c r="E139">
        <v>33901</v>
      </c>
      <c r="F139">
        <v>471</v>
      </c>
      <c r="G139">
        <v>3422.31</v>
      </c>
      <c r="H139" s="4">
        <f t="shared" si="6"/>
        <v>1.3893395475059733</v>
      </c>
      <c r="I139" s="4">
        <f t="shared" si="7"/>
        <v>7.2660509554140127</v>
      </c>
      <c r="J139" s="4">
        <f t="shared" si="8"/>
        <v>100.95011946550248</v>
      </c>
      <c r="K139">
        <v>53</v>
      </c>
    </row>
    <row r="140" spans="1:11" x14ac:dyDescent="0.35">
      <c r="A140" t="s">
        <v>12</v>
      </c>
      <c r="B140" t="s">
        <v>17</v>
      </c>
      <c r="C140" t="s">
        <v>20</v>
      </c>
      <c r="D140">
        <v>13335</v>
      </c>
      <c r="E140">
        <v>25985</v>
      </c>
      <c r="F140">
        <v>312</v>
      </c>
      <c r="G140">
        <v>2548.35</v>
      </c>
      <c r="H140" s="4">
        <f t="shared" si="6"/>
        <v>1.2006927073311526</v>
      </c>
      <c r="I140" s="4">
        <f t="shared" si="7"/>
        <v>8.1677884615384606</v>
      </c>
      <c r="J140" s="4">
        <f t="shared" si="8"/>
        <v>98.07004040792765</v>
      </c>
      <c r="K140">
        <v>33</v>
      </c>
    </row>
    <row r="141" spans="1:11" x14ac:dyDescent="0.35">
      <c r="A141" t="s">
        <v>12</v>
      </c>
      <c r="B141" t="s">
        <v>17</v>
      </c>
      <c r="C141" t="s">
        <v>20</v>
      </c>
      <c r="D141">
        <v>18280</v>
      </c>
      <c r="E141">
        <v>31768</v>
      </c>
      <c r="F141">
        <v>651</v>
      </c>
      <c r="G141">
        <v>4643.21</v>
      </c>
      <c r="H141" s="4">
        <f t="shared" si="6"/>
        <v>2.0492319315033996</v>
      </c>
      <c r="I141" s="4">
        <f t="shared" si="7"/>
        <v>7.1324270353302612</v>
      </c>
      <c r="J141" s="4">
        <f t="shared" si="8"/>
        <v>146.15997229916897</v>
      </c>
      <c r="K141">
        <v>16</v>
      </c>
    </row>
    <row r="142" spans="1:11" x14ac:dyDescent="0.35">
      <c r="A142" t="s">
        <v>12</v>
      </c>
      <c r="B142" t="s">
        <v>17</v>
      </c>
      <c r="C142" t="s">
        <v>21</v>
      </c>
      <c r="D142">
        <v>14114</v>
      </c>
      <c r="E142">
        <v>20012</v>
      </c>
      <c r="F142">
        <v>349</v>
      </c>
      <c r="G142">
        <v>2993.6</v>
      </c>
      <c r="H142" s="4">
        <f t="shared" si="6"/>
        <v>1.7439536278233061</v>
      </c>
      <c r="I142" s="4">
        <f t="shared" si="7"/>
        <v>8.5776504297994265</v>
      </c>
      <c r="J142" s="4">
        <f t="shared" si="8"/>
        <v>149.59024585248849</v>
      </c>
      <c r="K142">
        <v>9</v>
      </c>
    </row>
    <row r="143" spans="1:11" x14ac:dyDescent="0.35">
      <c r="A143" t="s">
        <v>12</v>
      </c>
      <c r="B143" t="s">
        <v>17</v>
      </c>
      <c r="C143" t="s">
        <v>21</v>
      </c>
      <c r="D143">
        <v>11512</v>
      </c>
      <c r="E143">
        <v>35784</v>
      </c>
      <c r="F143">
        <v>497</v>
      </c>
      <c r="G143">
        <v>3936.96</v>
      </c>
      <c r="H143" s="4">
        <f t="shared" si="6"/>
        <v>1.3888888888888888</v>
      </c>
      <c r="I143" s="4">
        <f t="shared" si="7"/>
        <v>7.9214486921529179</v>
      </c>
      <c r="J143" s="4">
        <f t="shared" si="8"/>
        <v>110.02012072434609</v>
      </c>
      <c r="K143">
        <v>30</v>
      </c>
    </row>
    <row r="144" spans="1:11" x14ac:dyDescent="0.35">
      <c r="A144" t="s">
        <v>12</v>
      </c>
      <c r="B144" t="s">
        <v>17</v>
      </c>
      <c r="C144" t="s">
        <v>21</v>
      </c>
      <c r="D144">
        <v>16939</v>
      </c>
      <c r="E144">
        <v>35608</v>
      </c>
      <c r="F144">
        <v>580</v>
      </c>
      <c r="G144">
        <v>4438.8900000000003</v>
      </c>
      <c r="H144" s="4">
        <f t="shared" si="6"/>
        <v>1.6288474500112333</v>
      </c>
      <c r="I144" s="4">
        <f t="shared" si="7"/>
        <v>7.6532586206896553</v>
      </c>
      <c r="J144" s="4">
        <f t="shared" si="8"/>
        <v>124.65990788586835</v>
      </c>
      <c r="K144">
        <v>65</v>
      </c>
    </row>
    <row r="145" spans="1:11" x14ac:dyDescent="0.35">
      <c r="A145" t="s">
        <v>12</v>
      </c>
      <c r="B145" t="s">
        <v>17</v>
      </c>
      <c r="C145" t="s">
        <v>21</v>
      </c>
      <c r="D145">
        <v>14533</v>
      </c>
      <c r="E145">
        <v>20336</v>
      </c>
      <c r="F145">
        <v>692</v>
      </c>
      <c r="G145">
        <v>1503.44</v>
      </c>
      <c r="H145" s="4">
        <f t="shared" si="6"/>
        <v>3.4028324154209284</v>
      </c>
      <c r="I145" s="4">
        <f t="shared" si="7"/>
        <v>2.1726011560693643</v>
      </c>
      <c r="J145" s="4">
        <f t="shared" si="8"/>
        <v>73.929976396538152</v>
      </c>
      <c r="K145">
        <v>46</v>
      </c>
    </row>
    <row r="146" spans="1:11" x14ac:dyDescent="0.35">
      <c r="A146" t="s">
        <v>12</v>
      </c>
      <c r="B146" t="s">
        <v>17</v>
      </c>
      <c r="C146" t="s">
        <v>20</v>
      </c>
      <c r="D146">
        <v>10058</v>
      </c>
      <c r="E146">
        <v>25929</v>
      </c>
      <c r="F146">
        <v>527</v>
      </c>
      <c r="G146">
        <v>2248.04</v>
      </c>
      <c r="H146" s="4">
        <f t="shared" si="6"/>
        <v>2.0324732924524662</v>
      </c>
      <c r="I146" s="4">
        <f t="shared" si="7"/>
        <v>4.2657305502846299</v>
      </c>
      <c r="J146" s="4">
        <f t="shared" si="8"/>
        <v>86.699834162520716</v>
      </c>
      <c r="K146">
        <v>55</v>
      </c>
    </row>
    <row r="147" spans="1:11" x14ac:dyDescent="0.35">
      <c r="A147" t="s">
        <v>12</v>
      </c>
      <c r="B147" t="s">
        <v>17</v>
      </c>
      <c r="C147" t="s">
        <v>20</v>
      </c>
      <c r="D147">
        <v>22634</v>
      </c>
      <c r="E147">
        <v>31567</v>
      </c>
      <c r="F147">
        <v>511</v>
      </c>
      <c r="G147">
        <v>4646.03</v>
      </c>
      <c r="H147" s="4">
        <f t="shared" si="6"/>
        <v>1.6187791047613014</v>
      </c>
      <c r="I147" s="4">
        <f t="shared" si="7"/>
        <v>9.0920352250489227</v>
      </c>
      <c r="J147" s="4">
        <f t="shared" si="8"/>
        <v>147.17996642062914</v>
      </c>
      <c r="K147">
        <v>22</v>
      </c>
    </row>
    <row r="148" spans="1:11" x14ac:dyDescent="0.35">
      <c r="A148" t="s">
        <v>12</v>
      </c>
      <c r="B148" t="s">
        <v>17</v>
      </c>
      <c r="C148" t="s">
        <v>20</v>
      </c>
      <c r="D148">
        <v>20438</v>
      </c>
      <c r="E148">
        <v>30860</v>
      </c>
      <c r="F148">
        <v>491</v>
      </c>
      <c r="G148">
        <v>3460.33</v>
      </c>
      <c r="H148" s="4">
        <f t="shared" si="6"/>
        <v>1.5910563836681788</v>
      </c>
      <c r="I148" s="4">
        <f t="shared" si="7"/>
        <v>7.0475152749490837</v>
      </c>
      <c r="J148" s="4">
        <f t="shared" si="8"/>
        <v>112.1299416720674</v>
      </c>
      <c r="K148">
        <v>11</v>
      </c>
    </row>
    <row r="149" spans="1:11" x14ac:dyDescent="0.35">
      <c r="A149" t="s">
        <v>12</v>
      </c>
      <c r="B149" t="s">
        <v>17</v>
      </c>
      <c r="C149" t="s">
        <v>21</v>
      </c>
      <c r="D149">
        <v>12647</v>
      </c>
      <c r="E149">
        <v>30919</v>
      </c>
      <c r="F149">
        <v>452</v>
      </c>
      <c r="G149">
        <v>3363.99</v>
      </c>
      <c r="H149" s="4">
        <f t="shared" si="6"/>
        <v>1.4618842782754942</v>
      </c>
      <c r="I149" s="4">
        <f t="shared" si="7"/>
        <v>7.4424557522123891</v>
      </c>
      <c r="J149" s="4">
        <f t="shared" si="8"/>
        <v>108.80009055920307</v>
      </c>
      <c r="K149">
        <v>34</v>
      </c>
    </row>
    <row r="150" spans="1:11" x14ac:dyDescent="0.35">
      <c r="A150" t="s">
        <v>12</v>
      </c>
      <c r="B150" t="s">
        <v>17</v>
      </c>
      <c r="C150" t="s">
        <v>19</v>
      </c>
      <c r="D150">
        <v>19038</v>
      </c>
      <c r="E150">
        <v>36310</v>
      </c>
      <c r="F150">
        <v>602</v>
      </c>
      <c r="G150">
        <v>4622.99</v>
      </c>
      <c r="H150" s="4">
        <f t="shared" si="6"/>
        <v>1.6579454695676121</v>
      </c>
      <c r="I150" s="4">
        <f t="shared" si="7"/>
        <v>7.6793853820598006</v>
      </c>
      <c r="J150" s="4">
        <f t="shared" si="8"/>
        <v>127.32002203249793</v>
      </c>
      <c r="K150">
        <v>66</v>
      </c>
    </row>
    <row r="151" spans="1:11" x14ac:dyDescent="0.35">
      <c r="A151" t="s">
        <v>12</v>
      </c>
      <c r="B151" t="s">
        <v>17</v>
      </c>
      <c r="C151" t="s">
        <v>19</v>
      </c>
      <c r="D151">
        <v>17007</v>
      </c>
      <c r="E151">
        <v>31298</v>
      </c>
      <c r="F151">
        <v>426</v>
      </c>
      <c r="G151">
        <v>2038.75</v>
      </c>
      <c r="H151" s="4">
        <f t="shared" si="6"/>
        <v>1.3611093360598121</v>
      </c>
      <c r="I151" s="4">
        <f t="shared" si="7"/>
        <v>4.785798122065728</v>
      </c>
      <c r="J151" s="4">
        <f t="shared" si="8"/>
        <v>65.139945044411789</v>
      </c>
      <c r="K151">
        <v>27</v>
      </c>
    </row>
    <row r="152" spans="1:11" x14ac:dyDescent="0.35">
      <c r="A152" t="s">
        <v>12</v>
      </c>
      <c r="B152" t="s">
        <v>17</v>
      </c>
      <c r="C152" t="s">
        <v>20</v>
      </c>
      <c r="D152">
        <v>10158</v>
      </c>
      <c r="E152">
        <v>18665</v>
      </c>
      <c r="F152">
        <v>617</v>
      </c>
      <c r="G152">
        <v>2101.31</v>
      </c>
      <c r="H152" s="4">
        <f t="shared" si="6"/>
        <v>3.3056522903830703</v>
      </c>
      <c r="I152" s="4">
        <f t="shared" si="7"/>
        <v>3.4056888168557538</v>
      </c>
      <c r="J152" s="4">
        <f t="shared" si="8"/>
        <v>112.5802303777123</v>
      </c>
      <c r="K152">
        <v>66</v>
      </c>
    </row>
    <row r="153" spans="1:11" x14ac:dyDescent="0.35">
      <c r="A153" t="s">
        <v>12</v>
      </c>
      <c r="B153" t="s">
        <v>17</v>
      </c>
      <c r="C153" t="s">
        <v>20</v>
      </c>
      <c r="D153">
        <v>11232</v>
      </c>
      <c r="E153">
        <v>37643</v>
      </c>
      <c r="F153">
        <v>264</v>
      </c>
      <c r="G153">
        <v>3962.3</v>
      </c>
      <c r="H153" s="4">
        <f t="shared" si="6"/>
        <v>0.70132561166750795</v>
      </c>
      <c r="I153" s="4">
        <f t="shared" si="7"/>
        <v>15.008712121212122</v>
      </c>
      <c r="J153" s="4">
        <f t="shared" si="8"/>
        <v>105.25994208750632</v>
      </c>
      <c r="K153">
        <v>31</v>
      </c>
    </row>
    <row r="154" spans="1:11" x14ac:dyDescent="0.35">
      <c r="A154" t="s">
        <v>12</v>
      </c>
      <c r="B154" t="s">
        <v>17</v>
      </c>
      <c r="C154" t="s">
        <v>20</v>
      </c>
      <c r="D154">
        <v>24809</v>
      </c>
      <c r="E154">
        <v>34693</v>
      </c>
      <c r="F154">
        <v>497</v>
      </c>
      <c r="G154">
        <v>4743.92</v>
      </c>
      <c r="H154" s="4">
        <f t="shared" si="6"/>
        <v>1.4325656472487245</v>
      </c>
      <c r="I154" s="4">
        <f t="shared" si="7"/>
        <v>9.5451106639839036</v>
      </c>
      <c r="J154" s="4">
        <f t="shared" si="8"/>
        <v>136.73997636410803</v>
      </c>
      <c r="K154">
        <v>18</v>
      </c>
    </row>
    <row r="155" spans="1:11" x14ac:dyDescent="0.35">
      <c r="A155" t="s">
        <v>12</v>
      </c>
      <c r="B155" t="s">
        <v>18</v>
      </c>
      <c r="C155" t="s">
        <v>21</v>
      </c>
      <c r="D155">
        <v>18938</v>
      </c>
      <c r="E155">
        <v>25209</v>
      </c>
      <c r="F155">
        <v>577</v>
      </c>
      <c r="G155">
        <v>1869.75</v>
      </c>
      <c r="H155" s="4">
        <f t="shared" si="6"/>
        <v>2.2888650878654446</v>
      </c>
      <c r="I155" s="4">
        <f t="shared" si="7"/>
        <v>3.2404679376083187</v>
      </c>
      <c r="J155" s="4">
        <f t="shared" si="8"/>
        <v>74.169939307390209</v>
      </c>
      <c r="K155">
        <v>66</v>
      </c>
    </row>
    <row r="156" spans="1:11" x14ac:dyDescent="0.35">
      <c r="A156" t="s">
        <v>12</v>
      </c>
      <c r="B156" t="s">
        <v>18</v>
      </c>
      <c r="C156" t="s">
        <v>19</v>
      </c>
      <c r="D156">
        <v>23674</v>
      </c>
      <c r="E156">
        <v>36825</v>
      </c>
      <c r="F156">
        <v>364</v>
      </c>
      <c r="G156">
        <v>5393.76</v>
      </c>
      <c r="H156" s="4">
        <f t="shared" si="6"/>
        <v>0.98845892735913099</v>
      </c>
      <c r="I156" s="4">
        <f t="shared" si="7"/>
        <v>14.818021978021978</v>
      </c>
      <c r="J156" s="4">
        <f t="shared" si="8"/>
        <v>146.47006109979634</v>
      </c>
      <c r="K156">
        <v>23</v>
      </c>
    </row>
    <row r="157" spans="1:11" x14ac:dyDescent="0.35">
      <c r="A157" t="s">
        <v>12</v>
      </c>
      <c r="B157" t="s">
        <v>18</v>
      </c>
      <c r="C157" t="s">
        <v>19</v>
      </c>
      <c r="D157">
        <v>19543</v>
      </c>
      <c r="E157">
        <v>34457</v>
      </c>
      <c r="F157">
        <v>642</v>
      </c>
      <c r="G157">
        <v>2315.85</v>
      </c>
      <c r="H157" s="4">
        <f t="shared" si="6"/>
        <v>1.8631918042777955</v>
      </c>
      <c r="I157" s="4">
        <f t="shared" si="7"/>
        <v>3.6072429906542056</v>
      </c>
      <c r="J157" s="4">
        <f t="shared" si="8"/>
        <v>67.209855762254392</v>
      </c>
      <c r="K157">
        <v>59</v>
      </c>
    </row>
    <row r="158" spans="1:11" x14ac:dyDescent="0.35">
      <c r="A158" t="s">
        <v>12</v>
      </c>
      <c r="B158" t="s">
        <v>18</v>
      </c>
      <c r="C158" t="s">
        <v>20</v>
      </c>
      <c r="D158">
        <v>12426</v>
      </c>
      <c r="E158">
        <v>30236</v>
      </c>
      <c r="F158">
        <v>295</v>
      </c>
      <c r="G158">
        <v>2319.71</v>
      </c>
      <c r="H158" s="4">
        <f t="shared" si="6"/>
        <v>0.9756581558407198</v>
      </c>
      <c r="I158" s="4">
        <f t="shared" si="7"/>
        <v>7.8634237288135598</v>
      </c>
      <c r="J158" s="4">
        <f t="shared" si="8"/>
        <v>76.720134938483923</v>
      </c>
      <c r="K158">
        <v>20</v>
      </c>
    </row>
    <row r="159" spans="1:11" x14ac:dyDescent="0.35">
      <c r="A159" t="s">
        <v>12</v>
      </c>
      <c r="B159" t="s">
        <v>18</v>
      </c>
      <c r="C159" t="s">
        <v>20</v>
      </c>
      <c r="D159">
        <v>12088</v>
      </c>
      <c r="E159">
        <v>17084</v>
      </c>
      <c r="F159">
        <v>442</v>
      </c>
      <c r="G159">
        <v>1939.89</v>
      </c>
      <c r="H159" s="4">
        <f t="shared" si="6"/>
        <v>2.5872161086396628</v>
      </c>
      <c r="I159" s="4">
        <f t="shared" si="7"/>
        <v>4.3888914027149326</v>
      </c>
      <c r="J159" s="4">
        <f t="shared" si="8"/>
        <v>113.55010536174198</v>
      </c>
      <c r="K159">
        <v>36</v>
      </c>
    </row>
    <row r="160" spans="1:11" x14ac:dyDescent="0.35">
      <c r="A160" t="s">
        <v>12</v>
      </c>
      <c r="B160" t="s">
        <v>18</v>
      </c>
      <c r="C160" t="s">
        <v>20</v>
      </c>
      <c r="D160">
        <v>15050</v>
      </c>
      <c r="E160">
        <v>31513</v>
      </c>
      <c r="F160">
        <v>449</v>
      </c>
      <c r="G160">
        <v>3805.83</v>
      </c>
      <c r="H160" s="4">
        <f t="shared" si="6"/>
        <v>1.4248088090629263</v>
      </c>
      <c r="I160" s="4">
        <f t="shared" si="7"/>
        <v>8.4762360801781735</v>
      </c>
      <c r="J160" s="4">
        <f t="shared" si="8"/>
        <v>120.77015834734871</v>
      </c>
      <c r="K160">
        <v>52</v>
      </c>
    </row>
    <row r="161" spans="1:11" x14ac:dyDescent="0.35">
      <c r="A161" t="s">
        <v>12</v>
      </c>
      <c r="B161" t="s">
        <v>18</v>
      </c>
      <c r="C161" t="s">
        <v>21</v>
      </c>
      <c r="D161">
        <v>24728</v>
      </c>
      <c r="E161">
        <v>32799</v>
      </c>
      <c r="F161">
        <v>349</v>
      </c>
      <c r="G161">
        <v>2662.29</v>
      </c>
      <c r="H161" s="4">
        <f t="shared" si="6"/>
        <v>1.0640568310009453</v>
      </c>
      <c r="I161" s="4">
        <f t="shared" si="7"/>
        <v>7.6283381088825211</v>
      </c>
      <c r="J161" s="4">
        <f t="shared" si="8"/>
        <v>81.169852739412775</v>
      </c>
      <c r="K161">
        <v>39</v>
      </c>
    </row>
    <row r="162" spans="1:11" x14ac:dyDescent="0.35">
      <c r="A162" t="s">
        <v>12</v>
      </c>
      <c r="B162" t="s">
        <v>18</v>
      </c>
      <c r="C162" t="s">
        <v>19</v>
      </c>
      <c r="D162">
        <v>24727</v>
      </c>
      <c r="E162">
        <v>38007</v>
      </c>
      <c r="F162">
        <v>261</v>
      </c>
      <c r="G162">
        <v>2690.52</v>
      </c>
      <c r="H162" s="4">
        <f t="shared" si="6"/>
        <v>0.68671560502012785</v>
      </c>
      <c r="I162" s="4">
        <f t="shared" si="7"/>
        <v>10.308505747126437</v>
      </c>
      <c r="J162" s="4">
        <f t="shared" si="8"/>
        <v>70.790117609913963</v>
      </c>
      <c r="K162">
        <v>20</v>
      </c>
    </row>
    <row r="163" spans="1:11" x14ac:dyDescent="0.35">
      <c r="A163" t="s">
        <v>12</v>
      </c>
      <c r="B163" t="s">
        <v>18</v>
      </c>
      <c r="C163" t="s">
        <v>20</v>
      </c>
      <c r="D163">
        <v>13441</v>
      </c>
      <c r="E163">
        <v>25649</v>
      </c>
      <c r="F163">
        <v>601</v>
      </c>
      <c r="G163">
        <v>3594.19</v>
      </c>
      <c r="H163" s="4">
        <f t="shared" si="6"/>
        <v>2.3431712737338688</v>
      </c>
      <c r="I163" s="4">
        <f t="shared" si="7"/>
        <v>5.9803494176372709</v>
      </c>
      <c r="J163" s="4">
        <f t="shared" si="8"/>
        <v>140.12982962298724</v>
      </c>
      <c r="K163">
        <v>24</v>
      </c>
    </row>
    <row r="164" spans="1:11" x14ac:dyDescent="0.35">
      <c r="A164" t="s">
        <v>12</v>
      </c>
      <c r="B164" t="s">
        <v>18</v>
      </c>
      <c r="C164" t="s">
        <v>20</v>
      </c>
      <c r="D164">
        <v>20927</v>
      </c>
      <c r="E164">
        <v>28889</v>
      </c>
      <c r="F164">
        <v>471</v>
      </c>
      <c r="G164">
        <v>2373.52</v>
      </c>
      <c r="H164" s="4">
        <f t="shared" si="6"/>
        <v>1.6303783446986742</v>
      </c>
      <c r="I164" s="4">
        <f t="shared" si="7"/>
        <v>5.0393205944798298</v>
      </c>
      <c r="J164" s="4">
        <f t="shared" si="8"/>
        <v>82.159991692339645</v>
      </c>
      <c r="K164">
        <v>26</v>
      </c>
    </row>
    <row r="165" spans="1:11" x14ac:dyDescent="0.35">
      <c r="A165" t="s">
        <v>12</v>
      </c>
      <c r="B165" t="s">
        <v>18</v>
      </c>
      <c r="C165" t="s">
        <v>20</v>
      </c>
      <c r="D165">
        <v>15794</v>
      </c>
      <c r="E165">
        <v>33848</v>
      </c>
      <c r="F165">
        <v>232</v>
      </c>
      <c r="G165">
        <v>3842.09</v>
      </c>
      <c r="H165" s="4">
        <f t="shared" si="6"/>
        <v>0.6854171590640511</v>
      </c>
      <c r="I165" s="4">
        <f t="shared" si="7"/>
        <v>16.560732758620691</v>
      </c>
      <c r="J165" s="4">
        <f t="shared" si="8"/>
        <v>113.51010399432758</v>
      </c>
      <c r="K165">
        <v>0</v>
      </c>
    </row>
    <row r="166" spans="1:11" x14ac:dyDescent="0.35">
      <c r="A166" t="s">
        <v>12</v>
      </c>
      <c r="B166" t="s">
        <v>18</v>
      </c>
      <c r="C166" t="s">
        <v>21</v>
      </c>
      <c r="D166">
        <v>20168</v>
      </c>
      <c r="E166">
        <v>28750</v>
      </c>
      <c r="F166">
        <v>715</v>
      </c>
      <c r="G166">
        <v>3327.52</v>
      </c>
      <c r="H166" s="4">
        <f t="shared" si="6"/>
        <v>2.4869565217391307</v>
      </c>
      <c r="I166" s="4">
        <f t="shared" si="7"/>
        <v>4.6538741258741254</v>
      </c>
      <c r="J166" s="4">
        <f t="shared" si="8"/>
        <v>115.73982608695651</v>
      </c>
      <c r="K166">
        <v>26</v>
      </c>
    </row>
    <row r="167" spans="1:11" x14ac:dyDescent="0.35">
      <c r="A167" t="s">
        <v>12</v>
      </c>
      <c r="B167" t="s">
        <v>18</v>
      </c>
      <c r="C167" t="s">
        <v>19</v>
      </c>
      <c r="D167">
        <v>13878</v>
      </c>
      <c r="E167">
        <v>23365</v>
      </c>
      <c r="F167">
        <v>278</v>
      </c>
      <c r="G167">
        <v>2283.46</v>
      </c>
      <c r="H167" s="4">
        <f t="shared" si="6"/>
        <v>1.1898138240958698</v>
      </c>
      <c r="I167" s="4">
        <f t="shared" si="7"/>
        <v>8.2138848920863303</v>
      </c>
      <c r="J167" s="4">
        <f t="shared" si="8"/>
        <v>97.729937941365293</v>
      </c>
      <c r="K167">
        <v>28</v>
      </c>
    </row>
    <row r="168" spans="1:11" x14ac:dyDescent="0.35">
      <c r="A168" t="s">
        <v>12</v>
      </c>
      <c r="B168" t="s">
        <v>18</v>
      </c>
      <c r="C168" t="s">
        <v>20</v>
      </c>
      <c r="D168">
        <v>23105</v>
      </c>
      <c r="E168">
        <v>32936</v>
      </c>
      <c r="F168">
        <v>329</v>
      </c>
      <c r="G168">
        <v>3706.29</v>
      </c>
      <c r="H168" s="4">
        <f t="shared" si="6"/>
        <v>0.99890697109545779</v>
      </c>
      <c r="I168" s="4">
        <f t="shared" si="7"/>
        <v>11.26531914893617</v>
      </c>
      <c r="J168" s="4">
        <f t="shared" si="8"/>
        <v>112.53005829487491</v>
      </c>
      <c r="K168">
        <v>33</v>
      </c>
    </row>
    <row r="169" spans="1:11" x14ac:dyDescent="0.35">
      <c r="A169" t="s">
        <v>12</v>
      </c>
      <c r="B169" t="s">
        <v>18</v>
      </c>
      <c r="C169" t="s">
        <v>20</v>
      </c>
      <c r="D169">
        <v>24441</v>
      </c>
      <c r="E169">
        <v>38528</v>
      </c>
      <c r="F169">
        <v>469</v>
      </c>
      <c r="G169">
        <v>4124.42</v>
      </c>
      <c r="H169" s="4">
        <f t="shared" si="6"/>
        <v>1.2172965116279071</v>
      </c>
      <c r="I169" s="4">
        <f t="shared" si="7"/>
        <v>8.7940724946695106</v>
      </c>
      <c r="J169" s="4">
        <f t="shared" si="8"/>
        <v>107.04993770764119</v>
      </c>
      <c r="K169">
        <v>38</v>
      </c>
    </row>
    <row r="170" spans="1:11" x14ac:dyDescent="0.35">
      <c r="A170" t="s">
        <v>12</v>
      </c>
      <c r="B170" t="s">
        <v>18</v>
      </c>
      <c r="C170" t="s">
        <v>20</v>
      </c>
      <c r="D170">
        <v>10406</v>
      </c>
      <c r="E170">
        <v>20877</v>
      </c>
      <c r="F170">
        <v>285</v>
      </c>
      <c r="G170">
        <v>3008.79</v>
      </c>
      <c r="H170" s="4">
        <f t="shared" si="6"/>
        <v>1.3651386693490444</v>
      </c>
      <c r="I170" s="4">
        <f t="shared" si="7"/>
        <v>10.557157894736841</v>
      </c>
      <c r="J170" s="4">
        <f t="shared" si="8"/>
        <v>144.11984480528812</v>
      </c>
      <c r="K170">
        <v>9</v>
      </c>
    </row>
    <row r="171" spans="1:11" x14ac:dyDescent="0.35">
      <c r="A171" t="s">
        <v>12</v>
      </c>
      <c r="B171" t="s">
        <v>18</v>
      </c>
      <c r="C171" t="s">
        <v>21</v>
      </c>
      <c r="D171">
        <v>22067</v>
      </c>
      <c r="E171">
        <v>34129</v>
      </c>
      <c r="F171">
        <v>322</v>
      </c>
      <c r="G171">
        <v>2675.03</v>
      </c>
      <c r="H171" s="4">
        <f t="shared" si="6"/>
        <v>0.94347915262679838</v>
      </c>
      <c r="I171" s="4">
        <f t="shared" si="7"/>
        <v>8.3075465838509324</v>
      </c>
      <c r="J171" s="4">
        <f t="shared" si="8"/>
        <v>78.379970113393298</v>
      </c>
      <c r="K171">
        <v>21</v>
      </c>
    </row>
    <row r="172" spans="1:11" x14ac:dyDescent="0.35">
      <c r="A172" t="s">
        <v>12</v>
      </c>
      <c r="B172" t="s">
        <v>18</v>
      </c>
      <c r="C172" t="s">
        <v>19</v>
      </c>
      <c r="D172">
        <v>22818</v>
      </c>
      <c r="E172">
        <v>36408</v>
      </c>
      <c r="F172">
        <v>264</v>
      </c>
      <c r="G172">
        <v>4531.34</v>
      </c>
      <c r="H172" s="4">
        <f t="shared" si="6"/>
        <v>0.72511535926170079</v>
      </c>
      <c r="I172" s="4">
        <f t="shared" si="7"/>
        <v>17.164166666666667</v>
      </c>
      <c r="J172" s="4">
        <f t="shared" si="8"/>
        <v>124.46000878927708</v>
      </c>
      <c r="K172">
        <v>7</v>
      </c>
    </row>
    <row r="173" spans="1:11" x14ac:dyDescent="0.35">
      <c r="A173" t="s">
        <v>12</v>
      </c>
      <c r="B173" t="s">
        <v>18</v>
      </c>
      <c r="C173" t="s">
        <v>19</v>
      </c>
      <c r="D173">
        <v>23143</v>
      </c>
      <c r="E173">
        <v>41060</v>
      </c>
      <c r="F173">
        <v>354</v>
      </c>
      <c r="G173">
        <v>3345.57</v>
      </c>
      <c r="H173" s="4">
        <f t="shared" si="6"/>
        <v>0.86215294690696542</v>
      </c>
      <c r="I173" s="4">
        <f t="shared" si="7"/>
        <v>9.4507627118644066</v>
      </c>
      <c r="J173" s="4">
        <f t="shared" si="8"/>
        <v>81.480029225523623</v>
      </c>
      <c r="K173">
        <v>29</v>
      </c>
    </row>
    <row r="174" spans="1:11" x14ac:dyDescent="0.35">
      <c r="A174" t="s">
        <v>12</v>
      </c>
      <c r="B174" t="s">
        <v>18</v>
      </c>
      <c r="C174" t="s">
        <v>20</v>
      </c>
      <c r="D174">
        <v>24156</v>
      </c>
      <c r="E174">
        <v>43445</v>
      </c>
      <c r="F174">
        <v>610</v>
      </c>
      <c r="G174">
        <v>4154.21</v>
      </c>
      <c r="H174" s="4">
        <f t="shared" si="6"/>
        <v>1.404074116699275</v>
      </c>
      <c r="I174" s="4">
        <f t="shared" si="7"/>
        <v>6.8101803278688529</v>
      </c>
      <c r="J174" s="4">
        <f t="shared" si="8"/>
        <v>95.619979284152379</v>
      </c>
      <c r="K174">
        <v>44</v>
      </c>
    </row>
    <row r="175" spans="1:11" x14ac:dyDescent="0.35">
      <c r="A175" t="s">
        <v>12</v>
      </c>
      <c r="B175" t="s">
        <v>18</v>
      </c>
      <c r="C175" t="s">
        <v>20</v>
      </c>
      <c r="D175">
        <v>23283</v>
      </c>
      <c r="E175">
        <v>34332</v>
      </c>
      <c r="F175">
        <v>357</v>
      </c>
      <c r="G175">
        <v>4135.29</v>
      </c>
      <c r="H175" s="4">
        <f t="shared" si="6"/>
        <v>1.0398462076197135</v>
      </c>
      <c r="I175" s="4">
        <f t="shared" si="7"/>
        <v>11.583445378151261</v>
      </c>
      <c r="J175" s="4">
        <f t="shared" si="8"/>
        <v>120.45001747640686</v>
      </c>
      <c r="K175">
        <v>26</v>
      </c>
    </row>
    <row r="176" spans="1:11" x14ac:dyDescent="0.35">
      <c r="A176" t="s">
        <v>12</v>
      </c>
      <c r="B176" t="s">
        <v>18</v>
      </c>
      <c r="C176" t="s">
        <v>20</v>
      </c>
      <c r="D176">
        <v>14371</v>
      </c>
      <c r="E176">
        <v>23898</v>
      </c>
      <c r="F176">
        <v>177</v>
      </c>
      <c r="G176">
        <v>2079.13</v>
      </c>
      <c r="H176" s="4">
        <f t="shared" si="6"/>
        <v>0.74064775295003771</v>
      </c>
      <c r="I176" s="4">
        <f t="shared" si="7"/>
        <v>11.746497175141243</v>
      </c>
      <c r="J176" s="4">
        <f t="shared" si="8"/>
        <v>87.000167378023264</v>
      </c>
      <c r="K176">
        <v>13</v>
      </c>
    </row>
    <row r="177" spans="1:11" x14ac:dyDescent="0.35">
      <c r="A177" t="s">
        <v>13</v>
      </c>
      <c r="B177" t="s">
        <v>15</v>
      </c>
      <c r="C177" t="s">
        <v>21</v>
      </c>
      <c r="D177">
        <v>19489</v>
      </c>
      <c r="E177">
        <v>27106</v>
      </c>
      <c r="F177">
        <v>279</v>
      </c>
      <c r="G177">
        <v>3996.24</v>
      </c>
      <c r="H177" s="4">
        <f t="shared" si="6"/>
        <v>1.0292924075850367</v>
      </c>
      <c r="I177" s="4">
        <f t="shared" si="7"/>
        <v>14.323440860215053</v>
      </c>
      <c r="J177" s="4">
        <f t="shared" si="8"/>
        <v>147.43008927912638</v>
      </c>
      <c r="K177">
        <v>0</v>
      </c>
    </row>
    <row r="178" spans="1:11" x14ac:dyDescent="0.35">
      <c r="A178" t="s">
        <v>13</v>
      </c>
      <c r="B178" t="s">
        <v>15</v>
      </c>
      <c r="C178" t="s">
        <v>20</v>
      </c>
      <c r="D178">
        <v>14267</v>
      </c>
      <c r="E178">
        <v>19181</v>
      </c>
      <c r="F178">
        <v>271</v>
      </c>
      <c r="G178">
        <v>4081.33</v>
      </c>
      <c r="H178" s="4">
        <f t="shared" si="6"/>
        <v>1.4128564725509618</v>
      </c>
      <c r="I178" s="4">
        <f t="shared" si="7"/>
        <v>15.060258302583026</v>
      </c>
      <c r="J178" s="4">
        <f t="shared" si="8"/>
        <v>212.77983421093791</v>
      </c>
      <c r="K178">
        <v>12</v>
      </c>
    </row>
    <row r="179" spans="1:11" x14ac:dyDescent="0.35">
      <c r="A179" t="s">
        <v>13</v>
      </c>
      <c r="B179" t="s">
        <v>15</v>
      </c>
      <c r="C179" t="s">
        <v>20</v>
      </c>
      <c r="D179">
        <v>15711</v>
      </c>
      <c r="E179">
        <v>24068</v>
      </c>
      <c r="F179">
        <v>221</v>
      </c>
      <c r="G179">
        <v>2668.66</v>
      </c>
      <c r="H179" s="4">
        <f t="shared" si="6"/>
        <v>0.9182316769154063</v>
      </c>
      <c r="I179" s="4">
        <f t="shared" si="7"/>
        <v>12.075384615384614</v>
      </c>
      <c r="J179" s="4">
        <f t="shared" si="8"/>
        <v>110.88000664783114</v>
      </c>
      <c r="K179">
        <v>22</v>
      </c>
    </row>
    <row r="180" spans="1:11" x14ac:dyDescent="0.35">
      <c r="A180" t="s">
        <v>13</v>
      </c>
      <c r="B180" t="s">
        <v>15</v>
      </c>
      <c r="C180" t="s">
        <v>20</v>
      </c>
      <c r="D180">
        <v>11269</v>
      </c>
      <c r="E180">
        <v>29732</v>
      </c>
      <c r="F180">
        <v>210</v>
      </c>
      <c r="G180">
        <v>5016.9799999999996</v>
      </c>
      <c r="H180" s="4">
        <f t="shared" si="6"/>
        <v>0.70630969998654647</v>
      </c>
      <c r="I180" s="4">
        <f t="shared" si="7"/>
        <v>23.890380952380951</v>
      </c>
      <c r="J180" s="4">
        <f t="shared" si="8"/>
        <v>168.74007803040493</v>
      </c>
      <c r="K180">
        <v>24</v>
      </c>
    </row>
    <row r="181" spans="1:11" x14ac:dyDescent="0.35">
      <c r="A181" t="s">
        <v>13</v>
      </c>
      <c r="B181" t="s">
        <v>15</v>
      </c>
      <c r="C181" t="s">
        <v>21</v>
      </c>
      <c r="D181">
        <v>13728</v>
      </c>
      <c r="E181">
        <v>22846</v>
      </c>
      <c r="F181">
        <v>407</v>
      </c>
      <c r="G181">
        <v>5706.25</v>
      </c>
      <c r="H181" s="4">
        <f t="shared" si="6"/>
        <v>1.7814934780705596</v>
      </c>
      <c r="I181" s="4">
        <f t="shared" si="7"/>
        <v>14.02027027027027</v>
      </c>
      <c r="J181" s="4">
        <f t="shared" si="8"/>
        <v>249.77020047273047</v>
      </c>
      <c r="K181">
        <v>28</v>
      </c>
    </row>
    <row r="182" spans="1:11" x14ac:dyDescent="0.35">
      <c r="A182" t="s">
        <v>13</v>
      </c>
      <c r="B182" t="s">
        <v>15</v>
      </c>
      <c r="C182" t="s">
        <v>20</v>
      </c>
      <c r="D182">
        <v>11728</v>
      </c>
      <c r="E182">
        <v>22550</v>
      </c>
      <c r="F182">
        <v>321</v>
      </c>
      <c r="G182">
        <v>5624.2</v>
      </c>
      <c r="H182" s="4">
        <f t="shared" si="6"/>
        <v>1.4235033259423502</v>
      </c>
      <c r="I182" s="4">
        <f t="shared" si="7"/>
        <v>17.520872274143301</v>
      </c>
      <c r="J182" s="4">
        <f t="shared" si="8"/>
        <v>249.41019955654102</v>
      </c>
      <c r="K182">
        <v>12</v>
      </c>
    </row>
    <row r="183" spans="1:11" x14ac:dyDescent="0.35">
      <c r="A183" t="s">
        <v>13</v>
      </c>
      <c r="B183" t="s">
        <v>15</v>
      </c>
      <c r="C183" t="s">
        <v>20</v>
      </c>
      <c r="D183">
        <v>8387</v>
      </c>
      <c r="E183">
        <v>18328</v>
      </c>
      <c r="F183">
        <v>284</v>
      </c>
      <c r="G183">
        <v>2034.22</v>
      </c>
      <c r="H183" s="4">
        <f t="shared" si="6"/>
        <v>1.5495416848537757</v>
      </c>
      <c r="I183" s="4">
        <f t="shared" si="7"/>
        <v>7.1627464788732391</v>
      </c>
      <c r="J183" s="4">
        <f t="shared" si="8"/>
        <v>110.9897424705369</v>
      </c>
      <c r="K183">
        <v>17</v>
      </c>
    </row>
    <row r="184" spans="1:11" x14ac:dyDescent="0.35">
      <c r="A184" t="s">
        <v>13</v>
      </c>
      <c r="B184" t="s">
        <v>15</v>
      </c>
      <c r="C184" t="s">
        <v>20</v>
      </c>
      <c r="D184">
        <v>14528</v>
      </c>
      <c r="E184">
        <v>24264</v>
      </c>
      <c r="F184">
        <v>404</v>
      </c>
      <c r="G184">
        <v>3202.12</v>
      </c>
      <c r="H184" s="4">
        <f t="shared" si="6"/>
        <v>1.6650181338608638</v>
      </c>
      <c r="I184" s="4">
        <f t="shared" si="7"/>
        <v>7.9260396039603958</v>
      </c>
      <c r="J184" s="4">
        <f t="shared" si="8"/>
        <v>131.9699967029344</v>
      </c>
      <c r="K184">
        <v>27</v>
      </c>
    </row>
    <row r="185" spans="1:11" x14ac:dyDescent="0.35">
      <c r="A185" t="s">
        <v>13</v>
      </c>
      <c r="B185" t="s">
        <v>15</v>
      </c>
      <c r="C185" t="s">
        <v>19</v>
      </c>
      <c r="D185">
        <v>9137</v>
      </c>
      <c r="E185">
        <v>21146</v>
      </c>
      <c r="F185">
        <v>418</v>
      </c>
      <c r="G185">
        <v>5074.83</v>
      </c>
      <c r="H185" s="4">
        <f t="shared" si="6"/>
        <v>1.9767331883098458</v>
      </c>
      <c r="I185" s="4">
        <f t="shared" si="7"/>
        <v>12.140741626794258</v>
      </c>
      <c r="J185" s="4">
        <f t="shared" si="8"/>
        <v>239.99006904379078</v>
      </c>
      <c r="K185">
        <v>44</v>
      </c>
    </row>
    <row r="186" spans="1:11" x14ac:dyDescent="0.35">
      <c r="A186" t="s">
        <v>13</v>
      </c>
      <c r="B186" t="s">
        <v>15</v>
      </c>
      <c r="C186" t="s">
        <v>20</v>
      </c>
      <c r="D186">
        <v>13753</v>
      </c>
      <c r="E186">
        <v>28388</v>
      </c>
      <c r="F186">
        <v>328</v>
      </c>
      <c r="G186">
        <v>6589.71</v>
      </c>
      <c r="H186" s="4">
        <f t="shared" si="6"/>
        <v>1.1554177821614766</v>
      </c>
      <c r="I186" s="4">
        <f t="shared" si="7"/>
        <v>20.090579268292682</v>
      </c>
      <c r="J186" s="4">
        <f t="shared" si="8"/>
        <v>232.13012540510076</v>
      </c>
      <c r="K186">
        <v>6</v>
      </c>
    </row>
    <row r="187" spans="1:11" x14ac:dyDescent="0.35">
      <c r="A187" t="s">
        <v>13</v>
      </c>
      <c r="B187" t="s">
        <v>15</v>
      </c>
      <c r="C187" t="s">
        <v>20</v>
      </c>
      <c r="D187">
        <v>16346</v>
      </c>
      <c r="E187">
        <v>27797</v>
      </c>
      <c r="F187">
        <v>569</v>
      </c>
      <c r="G187">
        <v>6445.85</v>
      </c>
      <c r="H187" s="4">
        <f t="shared" si="6"/>
        <v>2.0469834874267008</v>
      </c>
      <c r="I187" s="4">
        <f t="shared" si="7"/>
        <v>11.328383128295256</v>
      </c>
      <c r="J187" s="4">
        <f t="shared" si="8"/>
        <v>231.8901320286362</v>
      </c>
      <c r="K187">
        <v>59</v>
      </c>
    </row>
    <row r="188" spans="1:11" x14ac:dyDescent="0.35">
      <c r="A188" t="s">
        <v>13</v>
      </c>
      <c r="B188" t="s">
        <v>15</v>
      </c>
      <c r="C188" t="s">
        <v>21</v>
      </c>
      <c r="D188">
        <v>19133</v>
      </c>
      <c r="E188">
        <v>33657</v>
      </c>
      <c r="F188">
        <v>262</v>
      </c>
      <c r="G188">
        <v>5231.3100000000004</v>
      </c>
      <c r="H188" s="4">
        <f t="shared" si="6"/>
        <v>0.77844133464063936</v>
      </c>
      <c r="I188" s="4">
        <f t="shared" si="7"/>
        <v>19.966832061068704</v>
      </c>
      <c r="J188" s="4">
        <f t="shared" si="8"/>
        <v>155.43007398163829</v>
      </c>
      <c r="K188">
        <v>26</v>
      </c>
    </row>
    <row r="189" spans="1:11" x14ac:dyDescent="0.35">
      <c r="A189" t="s">
        <v>13</v>
      </c>
      <c r="B189" t="s">
        <v>15</v>
      </c>
      <c r="C189" t="s">
        <v>21</v>
      </c>
      <c r="D189">
        <v>13425</v>
      </c>
      <c r="E189">
        <v>17904</v>
      </c>
      <c r="F189">
        <v>265</v>
      </c>
      <c r="G189">
        <v>2214.0100000000002</v>
      </c>
      <c r="H189" s="4">
        <f t="shared" si="6"/>
        <v>1.4801161751563896</v>
      </c>
      <c r="I189" s="4">
        <f t="shared" si="7"/>
        <v>8.354754716981132</v>
      </c>
      <c r="J189" s="4">
        <f t="shared" si="8"/>
        <v>123.66007596067918</v>
      </c>
      <c r="K189">
        <v>20</v>
      </c>
    </row>
    <row r="190" spans="1:11" x14ac:dyDescent="0.35">
      <c r="A190" t="s">
        <v>13</v>
      </c>
      <c r="B190" t="s">
        <v>15</v>
      </c>
      <c r="C190" t="s">
        <v>20</v>
      </c>
      <c r="D190">
        <v>9889</v>
      </c>
      <c r="E190">
        <v>21414</v>
      </c>
      <c r="F190">
        <v>323</v>
      </c>
      <c r="G190">
        <v>4819.43</v>
      </c>
      <c r="H190" s="4">
        <f t="shared" si="6"/>
        <v>1.5083590174652097</v>
      </c>
      <c r="I190" s="4">
        <f t="shared" si="7"/>
        <v>14.920835913312695</v>
      </c>
      <c r="J190" s="4">
        <f t="shared" si="8"/>
        <v>225.05977397963949</v>
      </c>
      <c r="K190">
        <v>18</v>
      </c>
    </row>
    <row r="191" spans="1:11" x14ac:dyDescent="0.35">
      <c r="A191" t="s">
        <v>13</v>
      </c>
      <c r="B191" t="s">
        <v>16</v>
      </c>
      <c r="C191" t="s">
        <v>21</v>
      </c>
      <c r="D191">
        <v>10925</v>
      </c>
      <c r="E191">
        <v>22900</v>
      </c>
      <c r="F191">
        <v>350</v>
      </c>
      <c r="G191">
        <v>4706.6400000000003</v>
      </c>
      <c r="H191" s="4">
        <f t="shared" si="6"/>
        <v>1.5283842794759825</v>
      </c>
      <c r="I191" s="4">
        <f t="shared" si="7"/>
        <v>13.447542857142858</v>
      </c>
      <c r="J191" s="4">
        <f t="shared" si="8"/>
        <v>205.53013100436681</v>
      </c>
      <c r="K191">
        <v>40</v>
      </c>
    </row>
    <row r="192" spans="1:11" x14ac:dyDescent="0.35">
      <c r="A192" t="s">
        <v>13</v>
      </c>
      <c r="B192" t="s">
        <v>16</v>
      </c>
      <c r="C192" t="s">
        <v>21</v>
      </c>
      <c r="D192">
        <v>8626</v>
      </c>
      <c r="E192">
        <v>15552</v>
      </c>
      <c r="F192">
        <v>379</v>
      </c>
      <c r="G192">
        <v>2982.1</v>
      </c>
      <c r="H192" s="4">
        <f t="shared" si="6"/>
        <v>2.4369855967078187</v>
      </c>
      <c r="I192" s="4">
        <f t="shared" si="7"/>
        <v>7.8683377308707119</v>
      </c>
      <c r="J192" s="4">
        <f t="shared" si="8"/>
        <v>191.75025720164609</v>
      </c>
      <c r="K192">
        <v>0</v>
      </c>
    </row>
    <row r="193" spans="1:11" x14ac:dyDescent="0.35">
      <c r="A193" t="s">
        <v>13</v>
      </c>
      <c r="B193" t="s">
        <v>16</v>
      </c>
      <c r="C193" t="s">
        <v>19</v>
      </c>
      <c r="D193">
        <v>17774</v>
      </c>
      <c r="E193">
        <v>30225</v>
      </c>
      <c r="F193">
        <v>293</v>
      </c>
      <c r="G193">
        <v>7498.22</v>
      </c>
      <c r="H193" s="4">
        <f t="shared" si="6"/>
        <v>0.96939619520264686</v>
      </c>
      <c r="I193" s="4">
        <f t="shared" si="7"/>
        <v>25.591194539249148</v>
      </c>
      <c r="J193" s="4">
        <f t="shared" si="8"/>
        <v>248.08006617038873</v>
      </c>
      <c r="K193">
        <v>32</v>
      </c>
    </row>
    <row r="194" spans="1:11" x14ac:dyDescent="0.35">
      <c r="A194" t="s">
        <v>13</v>
      </c>
      <c r="B194" t="s">
        <v>16</v>
      </c>
      <c r="C194" t="s">
        <v>21</v>
      </c>
      <c r="D194">
        <v>13663</v>
      </c>
      <c r="E194">
        <v>29697</v>
      </c>
      <c r="F194">
        <v>381</v>
      </c>
      <c r="G194">
        <v>5882.98</v>
      </c>
      <c r="H194" s="4">
        <f t="shared" si="6"/>
        <v>1.2829578745327812</v>
      </c>
      <c r="I194" s="4">
        <f t="shared" si="7"/>
        <v>15.440892388451443</v>
      </c>
      <c r="J194" s="4">
        <f t="shared" si="8"/>
        <v>198.1001447957706</v>
      </c>
      <c r="K194">
        <v>41</v>
      </c>
    </row>
    <row r="195" spans="1:11" x14ac:dyDescent="0.35">
      <c r="A195" t="s">
        <v>13</v>
      </c>
      <c r="B195" t="s">
        <v>16</v>
      </c>
      <c r="C195" t="s">
        <v>21</v>
      </c>
      <c r="D195">
        <v>13139</v>
      </c>
      <c r="E195">
        <v>24229</v>
      </c>
      <c r="F195">
        <v>391</v>
      </c>
      <c r="G195">
        <v>2451.25</v>
      </c>
      <c r="H195" s="4">
        <f t="shared" ref="H195:H258" si="9">F195/E195*100</f>
        <v>1.6137686243757481</v>
      </c>
      <c r="I195" s="4">
        <f t="shared" ref="I195:I258" si="10">G195/F195</f>
        <v>6.2691815856777495</v>
      </c>
      <c r="J195" s="4">
        <f t="shared" ref="J195:J258" si="11">G195/E195*1000</f>
        <v>101.17008543480952</v>
      </c>
      <c r="K195">
        <v>39</v>
      </c>
    </row>
    <row r="196" spans="1:11" x14ac:dyDescent="0.35">
      <c r="A196" t="s">
        <v>13</v>
      </c>
      <c r="B196" t="s">
        <v>16</v>
      </c>
      <c r="C196" t="s">
        <v>20</v>
      </c>
      <c r="D196">
        <v>17932</v>
      </c>
      <c r="E196">
        <v>31690</v>
      </c>
      <c r="F196">
        <v>271</v>
      </c>
      <c r="G196">
        <v>7053.24</v>
      </c>
      <c r="H196" s="4">
        <f t="shared" si="9"/>
        <v>0.85515935626380557</v>
      </c>
      <c r="I196" s="4">
        <f t="shared" si="10"/>
        <v>26.026715867158671</v>
      </c>
      <c r="J196" s="4">
        <f t="shared" si="11"/>
        <v>222.56989586620384</v>
      </c>
      <c r="K196">
        <v>15</v>
      </c>
    </row>
    <row r="197" spans="1:11" x14ac:dyDescent="0.35">
      <c r="A197" t="s">
        <v>13</v>
      </c>
      <c r="B197" t="s">
        <v>16</v>
      </c>
      <c r="C197" t="s">
        <v>20</v>
      </c>
      <c r="D197">
        <v>9894</v>
      </c>
      <c r="E197">
        <v>25484</v>
      </c>
      <c r="F197">
        <v>304</v>
      </c>
      <c r="G197">
        <v>3692.89</v>
      </c>
      <c r="H197" s="4">
        <f t="shared" si="9"/>
        <v>1.1929053523779625</v>
      </c>
      <c r="I197" s="4">
        <f t="shared" si="10"/>
        <v>12.147664473684211</v>
      </c>
      <c r="J197" s="4">
        <f t="shared" si="11"/>
        <v>144.91013969549522</v>
      </c>
      <c r="K197">
        <v>7</v>
      </c>
    </row>
    <row r="198" spans="1:11" x14ac:dyDescent="0.35">
      <c r="A198" t="s">
        <v>13</v>
      </c>
      <c r="B198" t="s">
        <v>16</v>
      </c>
      <c r="C198" t="s">
        <v>20</v>
      </c>
      <c r="D198">
        <v>17446</v>
      </c>
      <c r="E198">
        <v>25793</v>
      </c>
      <c r="F198">
        <v>199</v>
      </c>
      <c r="G198">
        <v>5145.96</v>
      </c>
      <c r="H198" s="4">
        <f t="shared" si="9"/>
        <v>0.77152715853138454</v>
      </c>
      <c r="I198" s="4">
        <f t="shared" si="10"/>
        <v>25.859095477386933</v>
      </c>
      <c r="J198" s="4">
        <f t="shared" si="11"/>
        <v>199.50994455860115</v>
      </c>
      <c r="K198">
        <v>6</v>
      </c>
    </row>
    <row r="199" spans="1:11" x14ac:dyDescent="0.35">
      <c r="A199" t="s">
        <v>13</v>
      </c>
      <c r="B199" t="s">
        <v>16</v>
      </c>
      <c r="C199" t="s">
        <v>20</v>
      </c>
      <c r="D199">
        <v>12173</v>
      </c>
      <c r="E199">
        <v>16551</v>
      </c>
      <c r="F199">
        <v>410</v>
      </c>
      <c r="G199">
        <v>3986.14</v>
      </c>
      <c r="H199" s="4">
        <f t="shared" si="9"/>
        <v>2.4771917104706667</v>
      </c>
      <c r="I199" s="4">
        <f t="shared" si="10"/>
        <v>9.7222926829268292</v>
      </c>
      <c r="J199" s="4">
        <f t="shared" si="11"/>
        <v>240.83982840915957</v>
      </c>
      <c r="K199">
        <v>11</v>
      </c>
    </row>
    <row r="200" spans="1:11" x14ac:dyDescent="0.35">
      <c r="A200" t="s">
        <v>13</v>
      </c>
      <c r="B200" t="s">
        <v>16</v>
      </c>
      <c r="C200" t="s">
        <v>20</v>
      </c>
      <c r="D200">
        <v>19612</v>
      </c>
      <c r="E200">
        <v>32639</v>
      </c>
      <c r="F200">
        <v>271</v>
      </c>
      <c r="G200">
        <v>3921.25</v>
      </c>
      <c r="H200" s="4">
        <f t="shared" si="9"/>
        <v>0.83029504580409941</v>
      </c>
      <c r="I200" s="4">
        <f t="shared" si="10"/>
        <v>14.469557195571955</v>
      </c>
      <c r="J200" s="4">
        <f t="shared" si="11"/>
        <v>120.14001654462453</v>
      </c>
      <c r="K200">
        <v>23</v>
      </c>
    </row>
    <row r="201" spans="1:11" x14ac:dyDescent="0.35">
      <c r="A201" t="s">
        <v>13</v>
      </c>
      <c r="B201" t="s">
        <v>16</v>
      </c>
      <c r="C201" t="s">
        <v>20</v>
      </c>
      <c r="D201">
        <v>8027</v>
      </c>
      <c r="E201">
        <v>29036</v>
      </c>
      <c r="F201">
        <v>355</v>
      </c>
      <c r="G201">
        <v>3406.21</v>
      </c>
      <c r="H201" s="4">
        <f t="shared" si="9"/>
        <v>1.2226201956192313</v>
      </c>
      <c r="I201" s="4">
        <f t="shared" si="10"/>
        <v>9.5949577464788742</v>
      </c>
      <c r="J201" s="4">
        <f t="shared" si="11"/>
        <v>117.30989116958258</v>
      </c>
      <c r="K201">
        <v>17</v>
      </c>
    </row>
    <row r="202" spans="1:11" x14ac:dyDescent="0.35">
      <c r="A202" t="s">
        <v>13</v>
      </c>
      <c r="B202" t="s">
        <v>16</v>
      </c>
      <c r="C202" t="s">
        <v>19</v>
      </c>
      <c r="D202">
        <v>16821</v>
      </c>
      <c r="E202">
        <v>25095</v>
      </c>
      <c r="F202">
        <v>304</v>
      </c>
      <c r="G202">
        <v>2912.53</v>
      </c>
      <c r="H202" s="4">
        <f t="shared" si="9"/>
        <v>1.2113966925682407</v>
      </c>
      <c r="I202" s="4">
        <f t="shared" si="10"/>
        <v>9.5806907894736852</v>
      </c>
      <c r="J202" s="4">
        <f t="shared" si="11"/>
        <v>116.06017134887428</v>
      </c>
      <c r="K202">
        <v>33</v>
      </c>
    </row>
    <row r="203" spans="1:11" x14ac:dyDescent="0.35">
      <c r="A203" t="s">
        <v>13</v>
      </c>
      <c r="B203" t="s">
        <v>16</v>
      </c>
      <c r="C203" t="s">
        <v>19</v>
      </c>
      <c r="D203">
        <v>13967</v>
      </c>
      <c r="E203">
        <v>25223</v>
      </c>
      <c r="F203">
        <v>357</v>
      </c>
      <c r="G203">
        <v>4615.3</v>
      </c>
      <c r="H203" s="4">
        <f t="shared" si="9"/>
        <v>1.415374856281965</v>
      </c>
      <c r="I203" s="4">
        <f t="shared" si="10"/>
        <v>12.928011204481793</v>
      </c>
      <c r="J203" s="4">
        <f t="shared" si="11"/>
        <v>182.97982000555049</v>
      </c>
      <c r="K203">
        <v>12</v>
      </c>
    </row>
    <row r="204" spans="1:11" x14ac:dyDescent="0.35">
      <c r="A204" t="s">
        <v>13</v>
      </c>
      <c r="B204" t="s">
        <v>16</v>
      </c>
      <c r="C204" t="s">
        <v>19</v>
      </c>
      <c r="D204">
        <v>9146</v>
      </c>
      <c r="E204">
        <v>22819</v>
      </c>
      <c r="F204">
        <v>468</v>
      </c>
      <c r="G204">
        <v>3214.06</v>
      </c>
      <c r="H204" s="4">
        <f t="shared" si="9"/>
        <v>2.050922476883299</v>
      </c>
      <c r="I204" s="4">
        <f t="shared" si="10"/>
        <v>6.8676495726495723</v>
      </c>
      <c r="J204" s="4">
        <f t="shared" si="11"/>
        <v>140.85016871904989</v>
      </c>
      <c r="K204">
        <v>30</v>
      </c>
    </row>
    <row r="205" spans="1:11" x14ac:dyDescent="0.35">
      <c r="A205" t="s">
        <v>13</v>
      </c>
      <c r="B205" t="s">
        <v>16</v>
      </c>
      <c r="C205" t="s">
        <v>20</v>
      </c>
      <c r="D205">
        <v>18209</v>
      </c>
      <c r="E205">
        <v>28814</v>
      </c>
      <c r="F205">
        <v>447</v>
      </c>
      <c r="G205">
        <v>5495.41</v>
      </c>
      <c r="H205" s="4">
        <f t="shared" si="9"/>
        <v>1.5513292149649476</v>
      </c>
      <c r="I205" s="4">
        <f t="shared" si="10"/>
        <v>12.293982102908277</v>
      </c>
      <c r="J205" s="4">
        <f t="shared" si="11"/>
        <v>190.72013604497812</v>
      </c>
      <c r="K205">
        <v>36</v>
      </c>
    </row>
    <row r="206" spans="1:11" x14ac:dyDescent="0.35">
      <c r="A206" t="s">
        <v>13</v>
      </c>
      <c r="B206" t="s">
        <v>16</v>
      </c>
      <c r="C206" t="s">
        <v>20</v>
      </c>
      <c r="D206">
        <v>18868</v>
      </c>
      <c r="E206">
        <v>26569</v>
      </c>
      <c r="F206">
        <v>425</v>
      </c>
      <c r="G206">
        <v>5516.79</v>
      </c>
      <c r="H206" s="4">
        <f t="shared" si="9"/>
        <v>1.599608566374346</v>
      </c>
      <c r="I206" s="4">
        <f t="shared" si="10"/>
        <v>12.980682352941177</v>
      </c>
      <c r="J206" s="4">
        <f t="shared" si="11"/>
        <v>207.64010689149009</v>
      </c>
      <c r="K206">
        <v>11</v>
      </c>
    </row>
    <row r="207" spans="1:11" x14ac:dyDescent="0.35">
      <c r="A207" t="s">
        <v>13</v>
      </c>
      <c r="B207" t="s">
        <v>16</v>
      </c>
      <c r="C207" t="s">
        <v>21</v>
      </c>
      <c r="D207">
        <v>19792</v>
      </c>
      <c r="E207">
        <v>30649</v>
      </c>
      <c r="F207">
        <v>340</v>
      </c>
      <c r="G207">
        <v>4000.92</v>
      </c>
      <c r="H207" s="4">
        <f t="shared" si="9"/>
        <v>1.1093347254396555</v>
      </c>
      <c r="I207" s="4">
        <f t="shared" si="10"/>
        <v>11.767411764705882</v>
      </c>
      <c r="J207" s="4">
        <f t="shared" si="11"/>
        <v>130.53998499135372</v>
      </c>
      <c r="K207">
        <v>27</v>
      </c>
    </row>
    <row r="208" spans="1:11" x14ac:dyDescent="0.35">
      <c r="A208" t="s">
        <v>13</v>
      </c>
      <c r="B208" t="s">
        <v>16</v>
      </c>
      <c r="C208" t="s">
        <v>21</v>
      </c>
      <c r="D208">
        <v>16308</v>
      </c>
      <c r="E208">
        <v>26267</v>
      </c>
      <c r="F208">
        <v>323</v>
      </c>
      <c r="G208">
        <v>5125.74</v>
      </c>
      <c r="H208" s="4">
        <f t="shared" si="9"/>
        <v>1.2296798263981421</v>
      </c>
      <c r="I208" s="4">
        <f t="shared" si="10"/>
        <v>15.869164086687306</v>
      </c>
      <c r="J208" s="4">
        <f t="shared" si="11"/>
        <v>195.13990939201278</v>
      </c>
      <c r="K208">
        <v>9</v>
      </c>
    </row>
    <row r="209" spans="1:11" x14ac:dyDescent="0.35">
      <c r="A209" t="s">
        <v>13</v>
      </c>
      <c r="B209" t="s">
        <v>16</v>
      </c>
      <c r="C209" t="s">
        <v>19</v>
      </c>
      <c r="D209">
        <v>18926</v>
      </c>
      <c r="E209">
        <v>31294</v>
      </c>
      <c r="F209">
        <v>239</v>
      </c>
      <c r="G209">
        <v>4368.6400000000003</v>
      </c>
      <c r="H209" s="4">
        <f t="shared" si="9"/>
        <v>0.76372467565667534</v>
      </c>
      <c r="I209" s="4">
        <f t="shared" si="10"/>
        <v>18.278828451882848</v>
      </c>
      <c r="J209" s="4">
        <f t="shared" si="11"/>
        <v>139.59992330798238</v>
      </c>
      <c r="K209">
        <v>23</v>
      </c>
    </row>
    <row r="210" spans="1:11" x14ac:dyDescent="0.35">
      <c r="A210" t="s">
        <v>13</v>
      </c>
      <c r="B210" t="s">
        <v>16</v>
      </c>
      <c r="C210" t="s">
        <v>20</v>
      </c>
      <c r="D210">
        <v>13344</v>
      </c>
      <c r="E210">
        <v>23939</v>
      </c>
      <c r="F210">
        <v>231</v>
      </c>
      <c r="G210">
        <v>4148.1499999999996</v>
      </c>
      <c r="H210" s="4">
        <f t="shared" si="9"/>
        <v>0.96495258782739457</v>
      </c>
      <c r="I210" s="4">
        <f t="shared" si="10"/>
        <v>17.957359307359305</v>
      </c>
      <c r="J210" s="4">
        <f t="shared" si="11"/>
        <v>173.28000334182713</v>
      </c>
      <c r="K210">
        <v>10</v>
      </c>
    </row>
    <row r="211" spans="1:11" x14ac:dyDescent="0.35">
      <c r="A211" t="s">
        <v>13</v>
      </c>
      <c r="B211" t="s">
        <v>16</v>
      </c>
      <c r="C211" t="s">
        <v>20</v>
      </c>
      <c r="D211">
        <v>19423</v>
      </c>
      <c r="E211">
        <v>30093</v>
      </c>
      <c r="F211">
        <v>236</v>
      </c>
      <c r="G211">
        <v>7095.93</v>
      </c>
      <c r="H211" s="4">
        <f t="shared" si="9"/>
        <v>0.78423553650350586</v>
      </c>
      <c r="I211" s="4">
        <f t="shared" si="10"/>
        <v>30.067500000000003</v>
      </c>
      <c r="J211" s="4">
        <f t="shared" si="11"/>
        <v>235.80001993819161</v>
      </c>
      <c r="K211">
        <v>27</v>
      </c>
    </row>
    <row r="212" spans="1:11" x14ac:dyDescent="0.35">
      <c r="A212" t="s">
        <v>13</v>
      </c>
      <c r="B212" t="s">
        <v>16</v>
      </c>
      <c r="C212" t="s">
        <v>20</v>
      </c>
      <c r="D212">
        <v>17083</v>
      </c>
      <c r="E212">
        <v>24292</v>
      </c>
      <c r="F212">
        <v>290</v>
      </c>
      <c r="G212">
        <v>5512.34</v>
      </c>
      <c r="H212" s="4">
        <f t="shared" si="9"/>
        <v>1.1938086612876666</v>
      </c>
      <c r="I212" s="4">
        <f t="shared" si="10"/>
        <v>19.008068965517243</v>
      </c>
      <c r="J212" s="4">
        <f t="shared" si="11"/>
        <v>226.91997365387783</v>
      </c>
      <c r="K212">
        <v>0</v>
      </c>
    </row>
    <row r="213" spans="1:11" x14ac:dyDescent="0.35">
      <c r="A213" t="s">
        <v>13</v>
      </c>
      <c r="B213" t="s">
        <v>17</v>
      </c>
      <c r="C213" t="s">
        <v>19</v>
      </c>
      <c r="D213">
        <v>11143</v>
      </c>
      <c r="E213">
        <v>28262</v>
      </c>
      <c r="F213">
        <v>187</v>
      </c>
      <c r="G213">
        <v>3217.35</v>
      </c>
      <c r="H213" s="4">
        <f t="shared" si="9"/>
        <v>0.66166584105866533</v>
      </c>
      <c r="I213" s="4">
        <f t="shared" si="10"/>
        <v>17.205080213903742</v>
      </c>
      <c r="J213" s="4">
        <f t="shared" si="11"/>
        <v>113.84013870214423</v>
      </c>
      <c r="K213">
        <v>14</v>
      </c>
    </row>
    <row r="214" spans="1:11" x14ac:dyDescent="0.35">
      <c r="A214" t="s">
        <v>13</v>
      </c>
      <c r="B214" t="s">
        <v>17</v>
      </c>
      <c r="C214" t="s">
        <v>20</v>
      </c>
      <c r="D214">
        <v>18894</v>
      </c>
      <c r="E214">
        <v>30773</v>
      </c>
      <c r="F214">
        <v>265</v>
      </c>
      <c r="G214">
        <v>5032.62</v>
      </c>
      <c r="H214" s="4">
        <f t="shared" si="9"/>
        <v>0.86114450979754986</v>
      </c>
      <c r="I214" s="4">
        <f t="shared" si="10"/>
        <v>18.991018867924527</v>
      </c>
      <c r="J214" s="4">
        <f t="shared" si="11"/>
        <v>163.54011633574885</v>
      </c>
      <c r="K214">
        <v>0</v>
      </c>
    </row>
    <row r="215" spans="1:11" x14ac:dyDescent="0.35">
      <c r="A215" t="s">
        <v>13</v>
      </c>
      <c r="B215" t="s">
        <v>17</v>
      </c>
      <c r="C215" t="s">
        <v>20</v>
      </c>
      <c r="D215">
        <v>19097</v>
      </c>
      <c r="E215">
        <v>27677</v>
      </c>
      <c r="F215">
        <v>210</v>
      </c>
      <c r="G215">
        <v>3916.3</v>
      </c>
      <c r="H215" s="4">
        <f t="shared" si="9"/>
        <v>0.75875275499512229</v>
      </c>
      <c r="I215" s="4">
        <f t="shared" si="10"/>
        <v>18.649047619047622</v>
      </c>
      <c r="J215" s="4">
        <f t="shared" si="11"/>
        <v>141.50016258987608</v>
      </c>
      <c r="K215">
        <v>15</v>
      </c>
    </row>
    <row r="216" spans="1:11" x14ac:dyDescent="0.35">
      <c r="A216" t="s">
        <v>13</v>
      </c>
      <c r="B216" t="s">
        <v>17</v>
      </c>
      <c r="C216" t="s">
        <v>20</v>
      </c>
      <c r="D216">
        <v>18084</v>
      </c>
      <c r="E216">
        <v>28439</v>
      </c>
      <c r="F216">
        <v>265</v>
      </c>
      <c r="G216">
        <v>2858.97</v>
      </c>
      <c r="H216" s="4">
        <f t="shared" si="9"/>
        <v>0.93181898097682758</v>
      </c>
      <c r="I216" s="4">
        <f t="shared" si="10"/>
        <v>10.788566037735848</v>
      </c>
      <c r="J216" s="4">
        <f t="shared" si="11"/>
        <v>100.52990611484229</v>
      </c>
      <c r="K216">
        <v>15</v>
      </c>
    </row>
    <row r="217" spans="1:11" x14ac:dyDescent="0.35">
      <c r="A217" t="s">
        <v>13</v>
      </c>
      <c r="B217" t="s">
        <v>17</v>
      </c>
      <c r="C217" t="s">
        <v>20</v>
      </c>
      <c r="D217">
        <v>14653</v>
      </c>
      <c r="E217">
        <v>28025</v>
      </c>
      <c r="F217">
        <v>298</v>
      </c>
      <c r="G217">
        <v>6044.15</v>
      </c>
      <c r="H217" s="4">
        <f t="shared" si="9"/>
        <v>1.063336306868867</v>
      </c>
      <c r="I217" s="4">
        <f t="shared" si="10"/>
        <v>20.282382550335569</v>
      </c>
      <c r="J217" s="4">
        <f t="shared" si="11"/>
        <v>215.66993755575379</v>
      </c>
      <c r="K217">
        <v>24</v>
      </c>
    </row>
    <row r="218" spans="1:11" x14ac:dyDescent="0.35">
      <c r="A218" t="s">
        <v>13</v>
      </c>
      <c r="B218" t="s">
        <v>17</v>
      </c>
      <c r="C218" t="s">
        <v>20</v>
      </c>
      <c r="D218">
        <v>8006</v>
      </c>
      <c r="E218">
        <v>21957</v>
      </c>
      <c r="F218">
        <v>288</v>
      </c>
      <c r="G218">
        <v>4294.13</v>
      </c>
      <c r="H218" s="4">
        <f t="shared" si="9"/>
        <v>1.3116545976226259</v>
      </c>
      <c r="I218" s="4">
        <f t="shared" si="10"/>
        <v>14.910173611111112</v>
      </c>
      <c r="J218" s="4">
        <f t="shared" si="11"/>
        <v>195.56997768365443</v>
      </c>
      <c r="K218">
        <v>32</v>
      </c>
    </row>
    <row r="219" spans="1:11" x14ac:dyDescent="0.35">
      <c r="A219" t="s">
        <v>13</v>
      </c>
      <c r="B219" t="s">
        <v>17</v>
      </c>
      <c r="C219" t="s">
        <v>19</v>
      </c>
      <c r="D219">
        <v>12700</v>
      </c>
      <c r="E219">
        <v>19953</v>
      </c>
      <c r="F219">
        <v>178</v>
      </c>
      <c r="G219">
        <v>2779.25</v>
      </c>
      <c r="H219" s="4">
        <f t="shared" si="9"/>
        <v>0.89209642660251587</v>
      </c>
      <c r="I219" s="4">
        <f t="shared" si="10"/>
        <v>15.613764044943821</v>
      </c>
      <c r="J219" s="4">
        <f t="shared" si="11"/>
        <v>139.28983110309227</v>
      </c>
      <c r="K219">
        <v>0</v>
      </c>
    </row>
    <row r="220" spans="1:11" x14ac:dyDescent="0.35">
      <c r="A220" t="s">
        <v>13</v>
      </c>
      <c r="B220" t="s">
        <v>17</v>
      </c>
      <c r="C220" t="s">
        <v>19</v>
      </c>
      <c r="D220">
        <v>15043</v>
      </c>
      <c r="E220">
        <v>29057</v>
      </c>
      <c r="F220">
        <v>299</v>
      </c>
      <c r="G220">
        <v>6136.26</v>
      </c>
      <c r="H220" s="4">
        <f t="shared" si="9"/>
        <v>1.0290119420449462</v>
      </c>
      <c r="I220" s="4">
        <f t="shared" si="10"/>
        <v>20.522608695652174</v>
      </c>
      <c r="J220" s="4">
        <f t="shared" si="11"/>
        <v>211.18009429741545</v>
      </c>
      <c r="K220">
        <v>19</v>
      </c>
    </row>
    <row r="221" spans="1:11" x14ac:dyDescent="0.35">
      <c r="A221" t="s">
        <v>13</v>
      </c>
      <c r="B221" t="s">
        <v>17</v>
      </c>
      <c r="C221" t="s">
        <v>20</v>
      </c>
      <c r="D221">
        <v>17939</v>
      </c>
      <c r="E221">
        <v>28599</v>
      </c>
      <c r="F221">
        <v>436</v>
      </c>
      <c r="G221">
        <v>5226.47</v>
      </c>
      <c r="H221" s="4">
        <f t="shared" si="9"/>
        <v>1.5245288296793593</v>
      </c>
      <c r="I221" s="4">
        <f t="shared" si="10"/>
        <v>11.987316513761469</v>
      </c>
      <c r="J221" s="4">
        <f t="shared" si="11"/>
        <v>182.7500961572083</v>
      </c>
      <c r="K221">
        <v>23</v>
      </c>
    </row>
    <row r="222" spans="1:11" x14ac:dyDescent="0.35">
      <c r="A222" t="s">
        <v>13</v>
      </c>
      <c r="B222" t="s">
        <v>17</v>
      </c>
      <c r="C222" t="s">
        <v>20</v>
      </c>
      <c r="D222">
        <v>15618</v>
      </c>
      <c r="E222">
        <v>27541</v>
      </c>
      <c r="F222">
        <v>372</v>
      </c>
      <c r="G222">
        <v>4520.8599999999997</v>
      </c>
      <c r="H222" s="4">
        <f t="shared" si="9"/>
        <v>1.3507134817181656</v>
      </c>
      <c r="I222" s="4">
        <f t="shared" si="10"/>
        <v>12.152849462365591</v>
      </c>
      <c r="J222" s="4">
        <f t="shared" si="11"/>
        <v>164.15017610108566</v>
      </c>
      <c r="K222">
        <v>13</v>
      </c>
    </row>
    <row r="223" spans="1:11" x14ac:dyDescent="0.35">
      <c r="A223" t="s">
        <v>13</v>
      </c>
      <c r="B223" t="s">
        <v>17</v>
      </c>
      <c r="C223" t="s">
        <v>20</v>
      </c>
      <c r="D223">
        <v>15244</v>
      </c>
      <c r="E223">
        <v>30886</v>
      </c>
      <c r="F223">
        <v>428</v>
      </c>
      <c r="G223">
        <v>3133.38</v>
      </c>
      <c r="H223" s="4">
        <f t="shared" si="9"/>
        <v>1.3857411124781454</v>
      </c>
      <c r="I223" s="4">
        <f t="shared" si="10"/>
        <v>7.3209813084112154</v>
      </c>
      <c r="J223" s="4">
        <f t="shared" si="11"/>
        <v>101.44984782749466</v>
      </c>
      <c r="K223">
        <v>46</v>
      </c>
    </row>
    <row r="224" spans="1:11" x14ac:dyDescent="0.35">
      <c r="A224" t="s">
        <v>13</v>
      </c>
      <c r="B224" t="s">
        <v>17</v>
      </c>
      <c r="C224" t="s">
        <v>20</v>
      </c>
      <c r="D224">
        <v>11501</v>
      </c>
      <c r="E224">
        <v>31701</v>
      </c>
      <c r="F224">
        <v>198</v>
      </c>
      <c r="G224">
        <v>3528</v>
      </c>
      <c r="H224" s="4">
        <f t="shared" si="9"/>
        <v>0.62458597520582948</v>
      </c>
      <c r="I224" s="4">
        <f t="shared" si="10"/>
        <v>17.818181818181817</v>
      </c>
      <c r="J224" s="4">
        <f t="shared" si="11"/>
        <v>111.28986467303871</v>
      </c>
      <c r="K224">
        <v>0</v>
      </c>
    </row>
    <row r="225" spans="1:11" x14ac:dyDescent="0.35">
      <c r="A225" t="s">
        <v>13</v>
      </c>
      <c r="B225" t="s">
        <v>17</v>
      </c>
      <c r="C225" t="s">
        <v>20</v>
      </c>
      <c r="D225">
        <v>15752</v>
      </c>
      <c r="E225">
        <v>23257</v>
      </c>
      <c r="F225">
        <v>283</v>
      </c>
      <c r="G225">
        <v>5406.55</v>
      </c>
      <c r="H225" s="4">
        <f t="shared" si="9"/>
        <v>1.2168379412649954</v>
      </c>
      <c r="I225" s="4">
        <f t="shared" si="10"/>
        <v>19.104416961130742</v>
      </c>
      <c r="J225" s="4">
        <f t="shared" si="11"/>
        <v>232.46979404050393</v>
      </c>
      <c r="K225">
        <v>26</v>
      </c>
    </row>
    <row r="226" spans="1:11" x14ac:dyDescent="0.35">
      <c r="A226" t="s">
        <v>13</v>
      </c>
      <c r="B226" t="s">
        <v>17</v>
      </c>
      <c r="C226" t="s">
        <v>20</v>
      </c>
      <c r="D226">
        <v>18794</v>
      </c>
      <c r="E226">
        <v>25821</v>
      </c>
      <c r="F226">
        <v>318</v>
      </c>
      <c r="G226">
        <v>6083.17</v>
      </c>
      <c r="H226" s="4">
        <f t="shared" si="9"/>
        <v>1.2315557104682235</v>
      </c>
      <c r="I226" s="4">
        <f t="shared" si="10"/>
        <v>19.129465408805032</v>
      </c>
      <c r="J226" s="4">
        <f t="shared" si="11"/>
        <v>235.5900236241819</v>
      </c>
      <c r="K226">
        <v>7</v>
      </c>
    </row>
    <row r="227" spans="1:11" x14ac:dyDescent="0.35">
      <c r="A227" t="s">
        <v>13</v>
      </c>
      <c r="B227" t="s">
        <v>17</v>
      </c>
      <c r="C227" t="s">
        <v>20</v>
      </c>
      <c r="D227">
        <v>12649</v>
      </c>
      <c r="E227">
        <v>24888</v>
      </c>
      <c r="F227">
        <v>406</v>
      </c>
      <c r="G227">
        <v>4525.63</v>
      </c>
      <c r="H227" s="4">
        <f t="shared" si="9"/>
        <v>1.6313082610093219</v>
      </c>
      <c r="I227" s="4">
        <f t="shared" si="10"/>
        <v>11.146871921182266</v>
      </c>
      <c r="J227" s="4">
        <f t="shared" si="11"/>
        <v>181.83984249437481</v>
      </c>
      <c r="K227">
        <v>36</v>
      </c>
    </row>
    <row r="228" spans="1:11" x14ac:dyDescent="0.35">
      <c r="A228" t="s">
        <v>13</v>
      </c>
      <c r="B228" t="s">
        <v>17</v>
      </c>
      <c r="C228" t="s">
        <v>20</v>
      </c>
      <c r="D228">
        <v>18876</v>
      </c>
      <c r="E228">
        <v>30029</v>
      </c>
      <c r="F228">
        <v>392</v>
      </c>
      <c r="G228">
        <v>6762.23</v>
      </c>
      <c r="H228" s="4">
        <f t="shared" si="9"/>
        <v>1.3054047753837956</v>
      </c>
      <c r="I228" s="4">
        <f t="shared" si="10"/>
        <v>17.250586734693876</v>
      </c>
      <c r="J228" s="4">
        <f t="shared" si="11"/>
        <v>225.18998301641747</v>
      </c>
      <c r="K228">
        <v>8</v>
      </c>
    </row>
    <row r="229" spans="1:11" x14ac:dyDescent="0.35">
      <c r="A229" t="s">
        <v>13</v>
      </c>
      <c r="B229" t="s">
        <v>17</v>
      </c>
      <c r="C229" t="s">
        <v>21</v>
      </c>
      <c r="D229">
        <v>9530</v>
      </c>
      <c r="E229">
        <v>20085</v>
      </c>
      <c r="F229">
        <v>365</v>
      </c>
      <c r="G229">
        <v>3763.53</v>
      </c>
      <c r="H229" s="4">
        <f t="shared" si="9"/>
        <v>1.8172765745581281</v>
      </c>
      <c r="I229" s="4">
        <f t="shared" si="10"/>
        <v>10.311041095890412</v>
      </c>
      <c r="J229" s="4">
        <f t="shared" si="11"/>
        <v>187.38013442867813</v>
      </c>
      <c r="K229">
        <v>25</v>
      </c>
    </row>
    <row r="230" spans="1:11" x14ac:dyDescent="0.35">
      <c r="A230" t="s">
        <v>13</v>
      </c>
      <c r="B230" t="s">
        <v>17</v>
      </c>
      <c r="C230" t="s">
        <v>21</v>
      </c>
      <c r="D230">
        <v>19023</v>
      </c>
      <c r="E230">
        <v>29814</v>
      </c>
      <c r="F230">
        <v>330</v>
      </c>
      <c r="G230">
        <v>3643.57</v>
      </c>
      <c r="H230" s="4">
        <f t="shared" si="9"/>
        <v>1.1068625477963372</v>
      </c>
      <c r="I230" s="4">
        <f t="shared" si="10"/>
        <v>11.041121212121213</v>
      </c>
      <c r="J230" s="4">
        <f t="shared" si="11"/>
        <v>122.21003555376669</v>
      </c>
      <c r="K230">
        <v>0</v>
      </c>
    </row>
    <row r="231" spans="1:11" x14ac:dyDescent="0.35">
      <c r="A231" t="s">
        <v>13</v>
      </c>
      <c r="B231" t="s">
        <v>17</v>
      </c>
      <c r="C231" t="s">
        <v>19</v>
      </c>
      <c r="D231">
        <v>11680</v>
      </c>
      <c r="E231">
        <v>21709</v>
      </c>
      <c r="F231">
        <v>313</v>
      </c>
      <c r="G231">
        <v>2585.98</v>
      </c>
      <c r="H231" s="4">
        <f t="shared" si="9"/>
        <v>1.4417983324888295</v>
      </c>
      <c r="I231" s="4">
        <f t="shared" si="10"/>
        <v>8.261916932907349</v>
      </c>
      <c r="J231" s="4">
        <f t="shared" si="11"/>
        <v>119.12018057027039</v>
      </c>
      <c r="K231">
        <v>0</v>
      </c>
    </row>
    <row r="232" spans="1:11" x14ac:dyDescent="0.35">
      <c r="A232" t="s">
        <v>13</v>
      </c>
      <c r="B232" t="s">
        <v>17</v>
      </c>
      <c r="C232" t="s">
        <v>20</v>
      </c>
      <c r="D232">
        <v>10414</v>
      </c>
      <c r="E232">
        <v>14338</v>
      </c>
      <c r="F232">
        <v>219</v>
      </c>
      <c r="G232">
        <v>2096.79</v>
      </c>
      <c r="H232" s="4">
        <f t="shared" si="9"/>
        <v>1.5274096805691171</v>
      </c>
      <c r="I232" s="4">
        <f t="shared" si="10"/>
        <v>9.5743835616438346</v>
      </c>
      <c r="J232" s="4">
        <f t="shared" si="11"/>
        <v>146.24006137536617</v>
      </c>
      <c r="K232">
        <v>24</v>
      </c>
    </row>
    <row r="233" spans="1:11" x14ac:dyDescent="0.35">
      <c r="A233" t="s">
        <v>13</v>
      </c>
      <c r="B233" t="s">
        <v>17</v>
      </c>
      <c r="C233" t="s">
        <v>20</v>
      </c>
      <c r="D233">
        <v>8757</v>
      </c>
      <c r="E233">
        <v>20023</v>
      </c>
      <c r="F233">
        <v>327</v>
      </c>
      <c r="G233">
        <v>4702.3999999999996</v>
      </c>
      <c r="H233" s="4">
        <f t="shared" si="9"/>
        <v>1.6331219098037257</v>
      </c>
      <c r="I233" s="4">
        <f t="shared" si="10"/>
        <v>14.380428134556574</v>
      </c>
      <c r="J233" s="4">
        <f t="shared" si="11"/>
        <v>234.84992258902258</v>
      </c>
      <c r="K233">
        <v>13</v>
      </c>
    </row>
    <row r="234" spans="1:11" x14ac:dyDescent="0.35">
      <c r="A234" t="s">
        <v>13</v>
      </c>
      <c r="B234" t="s">
        <v>17</v>
      </c>
      <c r="C234" t="s">
        <v>20</v>
      </c>
      <c r="D234">
        <v>15784</v>
      </c>
      <c r="E234">
        <v>30534</v>
      </c>
      <c r="F234">
        <v>328</v>
      </c>
      <c r="G234">
        <v>6699.77</v>
      </c>
      <c r="H234" s="4">
        <f t="shared" si="9"/>
        <v>1.0742123534420647</v>
      </c>
      <c r="I234" s="4">
        <f t="shared" si="10"/>
        <v>20.426128048780487</v>
      </c>
      <c r="J234" s="4">
        <f t="shared" si="11"/>
        <v>219.41999082989454</v>
      </c>
      <c r="K234">
        <v>0</v>
      </c>
    </row>
    <row r="235" spans="1:11" x14ac:dyDescent="0.35">
      <c r="A235" t="s">
        <v>13</v>
      </c>
      <c r="B235" t="s">
        <v>17</v>
      </c>
      <c r="C235" t="s">
        <v>20</v>
      </c>
      <c r="D235">
        <v>9193</v>
      </c>
      <c r="E235">
        <v>26923</v>
      </c>
      <c r="F235">
        <v>396</v>
      </c>
      <c r="G235">
        <v>6168.33</v>
      </c>
      <c r="H235" s="4">
        <f t="shared" si="9"/>
        <v>1.4708613453181296</v>
      </c>
      <c r="I235" s="4">
        <f t="shared" si="10"/>
        <v>15.576590909090909</v>
      </c>
      <c r="J235" s="4">
        <f t="shared" si="11"/>
        <v>229.11005460015599</v>
      </c>
      <c r="K235">
        <v>45</v>
      </c>
    </row>
    <row r="236" spans="1:11" x14ac:dyDescent="0.35">
      <c r="A236" t="s">
        <v>13</v>
      </c>
      <c r="B236" t="s">
        <v>17</v>
      </c>
      <c r="C236" t="s">
        <v>20</v>
      </c>
      <c r="D236">
        <v>14790</v>
      </c>
      <c r="E236">
        <v>29545</v>
      </c>
      <c r="F236">
        <v>302</v>
      </c>
      <c r="G236">
        <v>6938.35</v>
      </c>
      <c r="H236" s="4">
        <f t="shared" si="9"/>
        <v>1.0221695718395667</v>
      </c>
      <c r="I236" s="4">
        <f t="shared" si="10"/>
        <v>22.974668874172188</v>
      </c>
      <c r="J236" s="4">
        <f t="shared" si="11"/>
        <v>234.84007446268404</v>
      </c>
      <c r="K236">
        <v>31</v>
      </c>
    </row>
    <row r="237" spans="1:11" x14ac:dyDescent="0.35">
      <c r="A237" t="s">
        <v>13</v>
      </c>
      <c r="B237" t="s">
        <v>18</v>
      </c>
      <c r="C237" t="s">
        <v>21</v>
      </c>
      <c r="D237">
        <v>17431</v>
      </c>
      <c r="E237">
        <v>25845</v>
      </c>
      <c r="F237">
        <v>298</v>
      </c>
      <c r="G237">
        <v>3398.88</v>
      </c>
      <c r="H237" s="4">
        <f t="shared" si="9"/>
        <v>1.1530276649255176</v>
      </c>
      <c r="I237" s="4">
        <f t="shared" si="10"/>
        <v>11.405637583892618</v>
      </c>
      <c r="J237" s="4">
        <f t="shared" si="11"/>
        <v>131.51015670342426</v>
      </c>
      <c r="K237">
        <v>19</v>
      </c>
    </row>
    <row r="238" spans="1:11" x14ac:dyDescent="0.35">
      <c r="A238" t="s">
        <v>13</v>
      </c>
      <c r="B238" t="s">
        <v>18</v>
      </c>
      <c r="C238" t="s">
        <v>20</v>
      </c>
      <c r="D238">
        <v>19769</v>
      </c>
      <c r="E238">
        <v>31990</v>
      </c>
      <c r="F238">
        <v>394</v>
      </c>
      <c r="G238">
        <v>4396.3900000000003</v>
      </c>
      <c r="H238" s="4">
        <f t="shared" si="9"/>
        <v>1.2316348859018442</v>
      </c>
      <c r="I238" s="4">
        <f t="shared" si="10"/>
        <v>11.158350253807107</v>
      </c>
      <c r="J238" s="4">
        <f t="shared" si="11"/>
        <v>137.43013441700532</v>
      </c>
      <c r="K238">
        <v>15</v>
      </c>
    </row>
    <row r="239" spans="1:11" x14ac:dyDescent="0.35">
      <c r="A239" t="s">
        <v>13</v>
      </c>
      <c r="B239" t="s">
        <v>18</v>
      </c>
      <c r="C239" t="s">
        <v>20</v>
      </c>
      <c r="D239">
        <v>16099</v>
      </c>
      <c r="E239">
        <v>27475</v>
      </c>
      <c r="F239">
        <v>333</v>
      </c>
      <c r="G239">
        <v>3171.16</v>
      </c>
      <c r="H239" s="4">
        <f t="shared" si="9"/>
        <v>1.2120109190172885</v>
      </c>
      <c r="I239" s="4">
        <f t="shared" si="10"/>
        <v>9.5230030030030033</v>
      </c>
      <c r="J239" s="4">
        <f t="shared" si="11"/>
        <v>115.41983621474067</v>
      </c>
      <c r="K239">
        <v>21</v>
      </c>
    </row>
    <row r="240" spans="1:11" x14ac:dyDescent="0.35">
      <c r="A240" t="s">
        <v>13</v>
      </c>
      <c r="B240" t="s">
        <v>18</v>
      </c>
      <c r="C240" t="s">
        <v>20</v>
      </c>
      <c r="D240">
        <v>11997</v>
      </c>
      <c r="E240">
        <v>20431</v>
      </c>
      <c r="F240">
        <v>199</v>
      </c>
      <c r="G240">
        <v>4433.9399999999996</v>
      </c>
      <c r="H240" s="4">
        <f t="shared" si="9"/>
        <v>0.97401008271743916</v>
      </c>
      <c r="I240" s="4">
        <f t="shared" si="10"/>
        <v>22.281105527638189</v>
      </c>
      <c r="J240" s="4">
        <f t="shared" si="11"/>
        <v>217.02021438010863</v>
      </c>
      <c r="K240">
        <v>11</v>
      </c>
    </row>
    <row r="241" spans="1:11" x14ac:dyDescent="0.35">
      <c r="A241" t="s">
        <v>13</v>
      </c>
      <c r="B241" t="s">
        <v>18</v>
      </c>
      <c r="C241" t="s">
        <v>20</v>
      </c>
      <c r="D241">
        <v>18748</v>
      </c>
      <c r="E241">
        <v>24462</v>
      </c>
      <c r="F241">
        <v>401</v>
      </c>
      <c r="G241">
        <v>5690.35</v>
      </c>
      <c r="H241" s="4">
        <f t="shared" si="9"/>
        <v>1.6392772463412641</v>
      </c>
      <c r="I241" s="4">
        <f t="shared" si="10"/>
        <v>14.190399002493766</v>
      </c>
      <c r="J241" s="4">
        <f t="shared" si="11"/>
        <v>232.619982012918</v>
      </c>
      <c r="K241">
        <v>46</v>
      </c>
    </row>
    <row r="242" spans="1:11" x14ac:dyDescent="0.35">
      <c r="A242" t="s">
        <v>13</v>
      </c>
      <c r="B242" t="s">
        <v>18</v>
      </c>
      <c r="C242" t="s">
        <v>20</v>
      </c>
      <c r="D242">
        <v>9746</v>
      </c>
      <c r="E242">
        <v>26600</v>
      </c>
      <c r="F242">
        <v>261</v>
      </c>
      <c r="G242">
        <v>4281.54</v>
      </c>
      <c r="H242" s="4">
        <f t="shared" si="9"/>
        <v>0.98120300751879697</v>
      </c>
      <c r="I242" s="4">
        <f t="shared" si="10"/>
        <v>16.404367816091955</v>
      </c>
      <c r="J242" s="4">
        <f t="shared" si="11"/>
        <v>160.96015037593986</v>
      </c>
      <c r="K242">
        <v>24</v>
      </c>
    </row>
    <row r="243" spans="1:11" x14ac:dyDescent="0.35">
      <c r="A243" t="s">
        <v>13</v>
      </c>
      <c r="B243" t="s">
        <v>18</v>
      </c>
      <c r="C243" t="s">
        <v>20</v>
      </c>
      <c r="D243">
        <v>11585</v>
      </c>
      <c r="E243">
        <v>20823</v>
      </c>
      <c r="F243">
        <v>286</v>
      </c>
      <c r="G243">
        <v>4020.92</v>
      </c>
      <c r="H243" s="4">
        <f t="shared" si="9"/>
        <v>1.3734812466983624</v>
      </c>
      <c r="I243" s="4">
        <f t="shared" si="10"/>
        <v>14.059160839160839</v>
      </c>
      <c r="J243" s="4">
        <f t="shared" si="11"/>
        <v>193.09993756903424</v>
      </c>
      <c r="K243">
        <v>27</v>
      </c>
    </row>
    <row r="244" spans="1:11" x14ac:dyDescent="0.35">
      <c r="A244" t="s">
        <v>13</v>
      </c>
      <c r="B244" t="s">
        <v>18</v>
      </c>
      <c r="C244" t="s">
        <v>20</v>
      </c>
      <c r="D244">
        <v>19401</v>
      </c>
      <c r="E244">
        <v>33707</v>
      </c>
      <c r="F244">
        <v>253</v>
      </c>
      <c r="G244">
        <v>4152.03</v>
      </c>
      <c r="H244" s="4">
        <f t="shared" si="9"/>
        <v>0.75058593170558041</v>
      </c>
      <c r="I244" s="4">
        <f t="shared" si="10"/>
        <v>16.411185770750986</v>
      </c>
      <c r="J244" s="4">
        <f t="shared" si="11"/>
        <v>123.18005162132494</v>
      </c>
      <c r="K244">
        <v>19</v>
      </c>
    </row>
    <row r="245" spans="1:11" x14ac:dyDescent="0.35">
      <c r="A245" t="s">
        <v>13</v>
      </c>
      <c r="B245" t="s">
        <v>18</v>
      </c>
      <c r="C245" t="s">
        <v>21</v>
      </c>
      <c r="D245">
        <v>15611</v>
      </c>
      <c r="E245">
        <v>21116</v>
      </c>
      <c r="F245">
        <v>465</v>
      </c>
      <c r="G245">
        <v>5056.8599999999997</v>
      </c>
      <c r="H245" s="4">
        <f t="shared" si="9"/>
        <v>2.2021216139420341</v>
      </c>
      <c r="I245" s="4">
        <f t="shared" si="10"/>
        <v>10.874967741935484</v>
      </c>
      <c r="J245" s="4">
        <f t="shared" si="11"/>
        <v>239.48001515438528</v>
      </c>
      <c r="K245">
        <v>40</v>
      </c>
    </row>
    <row r="246" spans="1:11" x14ac:dyDescent="0.35">
      <c r="A246" t="s">
        <v>13</v>
      </c>
      <c r="B246" t="s">
        <v>18</v>
      </c>
      <c r="C246" t="s">
        <v>19</v>
      </c>
      <c r="D246">
        <v>17132</v>
      </c>
      <c r="E246">
        <v>26353</v>
      </c>
      <c r="F246">
        <v>268</v>
      </c>
      <c r="G246">
        <v>6053.02</v>
      </c>
      <c r="H246" s="4">
        <f t="shared" si="9"/>
        <v>1.0169620157097863</v>
      </c>
      <c r="I246" s="4">
        <f t="shared" si="10"/>
        <v>22.585895522388061</v>
      </c>
      <c r="J246" s="4">
        <f t="shared" si="11"/>
        <v>229.68997837058399</v>
      </c>
      <c r="K246">
        <v>15</v>
      </c>
    </row>
    <row r="247" spans="1:11" x14ac:dyDescent="0.35">
      <c r="A247" t="s">
        <v>13</v>
      </c>
      <c r="B247" t="s">
        <v>18</v>
      </c>
      <c r="C247" t="s">
        <v>20</v>
      </c>
      <c r="D247">
        <v>9988</v>
      </c>
      <c r="E247">
        <v>27941</v>
      </c>
      <c r="F247">
        <v>168</v>
      </c>
      <c r="G247">
        <v>6885.5</v>
      </c>
      <c r="H247" s="4">
        <f t="shared" si="9"/>
        <v>0.60126695537024444</v>
      </c>
      <c r="I247" s="4">
        <f t="shared" si="10"/>
        <v>40.985119047619051</v>
      </c>
      <c r="J247" s="4">
        <f t="shared" si="11"/>
        <v>246.42997745248917</v>
      </c>
      <c r="K247">
        <v>0</v>
      </c>
    </row>
    <row r="248" spans="1:11" x14ac:dyDescent="0.35">
      <c r="A248" t="s">
        <v>13</v>
      </c>
      <c r="B248" t="s">
        <v>18</v>
      </c>
      <c r="C248" t="s">
        <v>20</v>
      </c>
      <c r="D248">
        <v>10184</v>
      </c>
      <c r="E248">
        <v>28464</v>
      </c>
      <c r="F248">
        <v>326</v>
      </c>
      <c r="G248">
        <v>6308.19</v>
      </c>
      <c r="H248" s="4">
        <f t="shared" si="9"/>
        <v>1.1453063518830804</v>
      </c>
      <c r="I248" s="4">
        <f t="shared" si="10"/>
        <v>19.350276073619632</v>
      </c>
      <c r="J248" s="4">
        <f t="shared" si="11"/>
        <v>221.61994097807755</v>
      </c>
      <c r="K248">
        <v>21</v>
      </c>
    </row>
    <row r="249" spans="1:11" x14ac:dyDescent="0.35">
      <c r="A249" t="s">
        <v>13</v>
      </c>
      <c r="B249" t="s">
        <v>18</v>
      </c>
      <c r="C249" t="s">
        <v>20</v>
      </c>
      <c r="D249">
        <v>18937</v>
      </c>
      <c r="E249">
        <v>33320</v>
      </c>
      <c r="F249">
        <v>402</v>
      </c>
      <c r="G249">
        <v>7737.24</v>
      </c>
      <c r="H249" s="4">
        <f t="shared" si="9"/>
        <v>1.2064825930372149</v>
      </c>
      <c r="I249" s="4">
        <f t="shared" si="10"/>
        <v>19.246865671641789</v>
      </c>
      <c r="J249" s="4">
        <f t="shared" si="11"/>
        <v>232.21008403361344</v>
      </c>
      <c r="K249">
        <v>33</v>
      </c>
    </row>
    <row r="250" spans="1:11" x14ac:dyDescent="0.35">
      <c r="A250" t="s">
        <v>13</v>
      </c>
      <c r="B250" t="s">
        <v>18</v>
      </c>
      <c r="C250" t="s">
        <v>19</v>
      </c>
      <c r="D250">
        <v>17157</v>
      </c>
      <c r="E250">
        <v>27502</v>
      </c>
      <c r="F250">
        <v>372</v>
      </c>
      <c r="G250">
        <v>2852.51</v>
      </c>
      <c r="H250" s="4">
        <f t="shared" si="9"/>
        <v>1.3526288997163842</v>
      </c>
      <c r="I250" s="4">
        <f t="shared" si="10"/>
        <v>7.668037634408603</v>
      </c>
      <c r="J250" s="4">
        <f t="shared" si="11"/>
        <v>103.72009308413935</v>
      </c>
      <c r="K250">
        <v>20</v>
      </c>
    </row>
    <row r="251" spans="1:11" x14ac:dyDescent="0.35">
      <c r="A251" t="s">
        <v>14</v>
      </c>
      <c r="B251" t="s">
        <v>15</v>
      </c>
      <c r="C251" t="s">
        <v>21</v>
      </c>
      <c r="D251">
        <v>19502</v>
      </c>
      <c r="E251">
        <v>35389</v>
      </c>
      <c r="F251">
        <v>796</v>
      </c>
      <c r="G251">
        <v>2318.33</v>
      </c>
      <c r="H251" s="4">
        <f t="shared" si="9"/>
        <v>2.2492865014552543</v>
      </c>
      <c r="I251" s="4">
        <f t="shared" si="10"/>
        <v>2.9124748743718594</v>
      </c>
      <c r="J251" s="4">
        <f t="shared" si="11"/>
        <v>65.509904207522098</v>
      </c>
      <c r="K251">
        <v>0</v>
      </c>
    </row>
    <row r="252" spans="1:11" x14ac:dyDescent="0.35">
      <c r="A252" t="s">
        <v>14</v>
      </c>
      <c r="B252" t="s">
        <v>15</v>
      </c>
      <c r="C252" t="s">
        <v>19</v>
      </c>
      <c r="D252">
        <v>21540</v>
      </c>
      <c r="E252">
        <v>34993</v>
      </c>
      <c r="F252">
        <v>1469</v>
      </c>
      <c r="G252">
        <v>1514.15</v>
      </c>
      <c r="H252" s="4">
        <f t="shared" si="9"/>
        <v>4.1979824536335837</v>
      </c>
      <c r="I252" s="4">
        <f t="shared" si="10"/>
        <v>1.0307351940095304</v>
      </c>
      <c r="J252" s="4">
        <f t="shared" si="11"/>
        <v>43.270082587946163</v>
      </c>
      <c r="K252">
        <v>0</v>
      </c>
    </row>
    <row r="253" spans="1:11" x14ac:dyDescent="0.35">
      <c r="A253" t="s">
        <v>14</v>
      </c>
      <c r="B253" t="s">
        <v>15</v>
      </c>
      <c r="C253" t="s">
        <v>19</v>
      </c>
      <c r="D253">
        <v>22952</v>
      </c>
      <c r="E253">
        <v>37142</v>
      </c>
      <c r="F253">
        <v>823</v>
      </c>
      <c r="G253">
        <v>2829.85</v>
      </c>
      <c r="H253" s="4">
        <f t="shared" si="9"/>
        <v>2.2158203650853481</v>
      </c>
      <c r="I253" s="4">
        <f t="shared" si="10"/>
        <v>3.438456865127582</v>
      </c>
      <c r="J253" s="4">
        <f t="shared" si="11"/>
        <v>76.190027462172196</v>
      </c>
      <c r="K253">
        <v>79</v>
      </c>
    </row>
    <row r="254" spans="1:11" x14ac:dyDescent="0.35">
      <c r="A254" t="s">
        <v>14</v>
      </c>
      <c r="B254" t="s">
        <v>15</v>
      </c>
      <c r="C254" t="s">
        <v>19</v>
      </c>
      <c r="D254">
        <v>10215</v>
      </c>
      <c r="E254">
        <v>37647</v>
      </c>
      <c r="F254">
        <v>779</v>
      </c>
      <c r="G254">
        <v>2602.16</v>
      </c>
      <c r="H254" s="4">
        <f t="shared" si="9"/>
        <v>2.0692219831593488</v>
      </c>
      <c r="I254" s="4">
        <f t="shared" si="10"/>
        <v>3.3403851091142487</v>
      </c>
      <c r="J254" s="4">
        <f t="shared" si="11"/>
        <v>69.119982999973431</v>
      </c>
      <c r="K254">
        <v>79</v>
      </c>
    </row>
    <row r="255" spans="1:11" x14ac:dyDescent="0.35">
      <c r="A255" t="s">
        <v>14</v>
      </c>
      <c r="B255" t="s">
        <v>15</v>
      </c>
      <c r="C255" t="s">
        <v>19</v>
      </c>
      <c r="D255">
        <v>20554</v>
      </c>
      <c r="E255">
        <v>34093</v>
      </c>
      <c r="F255">
        <v>1508</v>
      </c>
      <c r="G255">
        <v>2472.42</v>
      </c>
      <c r="H255" s="4">
        <f t="shared" si="9"/>
        <v>4.4231953773501891</v>
      </c>
      <c r="I255" s="4">
        <f t="shared" si="10"/>
        <v>1.6395358090185677</v>
      </c>
      <c r="J255" s="4">
        <f t="shared" si="11"/>
        <v>72.519872114510321</v>
      </c>
      <c r="K255">
        <v>0</v>
      </c>
    </row>
    <row r="256" spans="1:11" x14ac:dyDescent="0.35">
      <c r="A256" t="s">
        <v>14</v>
      </c>
      <c r="B256" t="s">
        <v>15</v>
      </c>
      <c r="C256" t="s">
        <v>20</v>
      </c>
      <c r="D256">
        <v>13493</v>
      </c>
      <c r="E256">
        <v>25641</v>
      </c>
      <c r="F256">
        <v>859</v>
      </c>
      <c r="G256">
        <v>1784.36</v>
      </c>
      <c r="H256" s="4">
        <f t="shared" si="9"/>
        <v>3.3501033501033497</v>
      </c>
      <c r="I256" s="4">
        <f t="shared" si="10"/>
        <v>2.077252619324796</v>
      </c>
      <c r="J256" s="4">
        <f t="shared" si="11"/>
        <v>69.590109590109577</v>
      </c>
      <c r="K256">
        <v>39</v>
      </c>
    </row>
    <row r="257" spans="1:11" x14ac:dyDescent="0.35">
      <c r="A257" t="s">
        <v>14</v>
      </c>
      <c r="B257" t="s">
        <v>15</v>
      </c>
      <c r="C257" t="s">
        <v>20</v>
      </c>
      <c r="D257">
        <v>14086</v>
      </c>
      <c r="E257">
        <v>35392</v>
      </c>
      <c r="F257">
        <v>700</v>
      </c>
      <c r="G257">
        <v>1404</v>
      </c>
      <c r="H257" s="4">
        <f t="shared" si="9"/>
        <v>1.9778481012658229</v>
      </c>
      <c r="I257" s="4">
        <f t="shared" si="10"/>
        <v>2.0057142857142858</v>
      </c>
      <c r="J257" s="4">
        <f t="shared" si="11"/>
        <v>39.669981916817356</v>
      </c>
      <c r="K257">
        <v>83</v>
      </c>
    </row>
    <row r="258" spans="1:11" x14ac:dyDescent="0.35">
      <c r="A258" t="s">
        <v>14</v>
      </c>
      <c r="B258" t="s">
        <v>15</v>
      </c>
      <c r="C258" t="s">
        <v>20</v>
      </c>
      <c r="D258">
        <v>20879</v>
      </c>
      <c r="E258">
        <v>37410</v>
      </c>
      <c r="F258">
        <v>1053</v>
      </c>
      <c r="G258">
        <v>2555.48</v>
      </c>
      <c r="H258" s="4">
        <f t="shared" si="9"/>
        <v>2.8147554129911789</v>
      </c>
      <c r="I258" s="4">
        <f t="shared" si="10"/>
        <v>2.4268566001899337</v>
      </c>
      <c r="J258" s="4">
        <f t="shared" si="11"/>
        <v>68.310077519379846</v>
      </c>
      <c r="K258">
        <v>97</v>
      </c>
    </row>
    <row r="259" spans="1:11" x14ac:dyDescent="0.35">
      <c r="A259" t="s">
        <v>14</v>
      </c>
      <c r="B259" t="s">
        <v>15</v>
      </c>
      <c r="C259" t="s">
        <v>21</v>
      </c>
      <c r="D259">
        <v>12839</v>
      </c>
      <c r="E259">
        <v>25688</v>
      </c>
      <c r="F259">
        <v>1241</v>
      </c>
      <c r="G259">
        <v>795.04</v>
      </c>
      <c r="H259" s="4">
        <f t="shared" ref="H259:H322" si="12">F259/E259*100</f>
        <v>4.8310495172843355</v>
      </c>
      <c r="I259" s="4">
        <f t="shared" ref="I259:I322" si="13">G259/F259</f>
        <v>0.64064464141821109</v>
      </c>
      <c r="J259" s="4">
        <f t="shared" ref="J259:J322" si="14">G259/E259*1000</f>
        <v>30.949859856742446</v>
      </c>
      <c r="K259">
        <v>50</v>
      </c>
    </row>
    <row r="260" spans="1:11" x14ac:dyDescent="0.35">
      <c r="A260" t="s">
        <v>14</v>
      </c>
      <c r="B260" t="s">
        <v>15</v>
      </c>
      <c r="C260" t="s">
        <v>21</v>
      </c>
      <c r="D260">
        <v>14362</v>
      </c>
      <c r="E260">
        <v>26353</v>
      </c>
      <c r="F260">
        <v>1679</v>
      </c>
      <c r="G260">
        <v>1903.21</v>
      </c>
      <c r="H260" s="4">
        <f t="shared" si="12"/>
        <v>6.3711911357340725</v>
      </c>
      <c r="I260" s="4">
        <f t="shared" si="13"/>
        <v>1.1335378201310304</v>
      </c>
      <c r="J260" s="4">
        <f t="shared" si="14"/>
        <v>72.219861116381438</v>
      </c>
      <c r="K260">
        <v>115</v>
      </c>
    </row>
    <row r="261" spans="1:11" x14ac:dyDescent="0.35">
      <c r="A261" t="s">
        <v>14</v>
      </c>
      <c r="B261" t="s">
        <v>15</v>
      </c>
      <c r="C261" t="s">
        <v>19</v>
      </c>
      <c r="D261">
        <v>15476</v>
      </c>
      <c r="E261">
        <v>37817</v>
      </c>
      <c r="F261">
        <v>1280</v>
      </c>
      <c r="G261">
        <v>2643.79</v>
      </c>
      <c r="H261" s="4">
        <f t="shared" si="12"/>
        <v>3.3847211571515454</v>
      </c>
      <c r="I261" s="4">
        <f t="shared" si="13"/>
        <v>2.0654609375000001</v>
      </c>
      <c r="J261" s="4">
        <f t="shared" si="14"/>
        <v>69.91009334426316</v>
      </c>
      <c r="K261">
        <v>55</v>
      </c>
    </row>
    <row r="262" spans="1:11" x14ac:dyDescent="0.35">
      <c r="A262" t="s">
        <v>14</v>
      </c>
      <c r="B262" t="s">
        <v>15</v>
      </c>
      <c r="C262" t="s">
        <v>20</v>
      </c>
      <c r="D262">
        <v>7640</v>
      </c>
      <c r="E262">
        <v>14466</v>
      </c>
      <c r="F262">
        <v>1248</v>
      </c>
      <c r="G262">
        <v>727.93</v>
      </c>
      <c r="H262" s="4">
        <f t="shared" si="12"/>
        <v>8.6271256739941933</v>
      </c>
      <c r="I262" s="4">
        <f t="shared" si="13"/>
        <v>0.58327724358974353</v>
      </c>
      <c r="J262" s="4">
        <f t="shared" si="14"/>
        <v>50.32006083229642</v>
      </c>
      <c r="K262">
        <v>138</v>
      </c>
    </row>
    <row r="263" spans="1:11" x14ac:dyDescent="0.35">
      <c r="A263" t="s">
        <v>14</v>
      </c>
      <c r="B263" t="s">
        <v>15</v>
      </c>
      <c r="C263" t="s">
        <v>21</v>
      </c>
      <c r="D263">
        <v>9942</v>
      </c>
      <c r="E263">
        <v>20501</v>
      </c>
      <c r="F263">
        <v>1100</v>
      </c>
      <c r="G263">
        <v>856.74</v>
      </c>
      <c r="H263" s="4">
        <f t="shared" si="12"/>
        <v>5.365591922345252</v>
      </c>
      <c r="I263" s="4">
        <f t="shared" si="13"/>
        <v>0.77885454545454547</v>
      </c>
      <c r="J263" s="4">
        <f t="shared" si="14"/>
        <v>41.790156577727913</v>
      </c>
      <c r="K263">
        <v>76</v>
      </c>
    </row>
    <row r="264" spans="1:11" x14ac:dyDescent="0.35">
      <c r="A264" t="s">
        <v>14</v>
      </c>
      <c r="B264" t="s">
        <v>15</v>
      </c>
      <c r="C264" t="s">
        <v>21</v>
      </c>
      <c r="D264">
        <v>17551</v>
      </c>
      <c r="E264">
        <v>27823</v>
      </c>
      <c r="F264">
        <v>1027</v>
      </c>
      <c r="G264">
        <v>1912.55</v>
      </c>
      <c r="H264" s="4">
        <f t="shared" si="12"/>
        <v>3.691190741472882</v>
      </c>
      <c r="I264" s="4">
        <f t="shared" si="13"/>
        <v>1.8622687439143135</v>
      </c>
      <c r="J264" s="4">
        <f t="shared" si="14"/>
        <v>68.739891456708477</v>
      </c>
      <c r="K264">
        <v>81</v>
      </c>
    </row>
    <row r="265" spans="1:11" x14ac:dyDescent="0.35">
      <c r="A265" t="s">
        <v>14</v>
      </c>
      <c r="B265" t="s">
        <v>15</v>
      </c>
      <c r="C265" t="s">
        <v>21</v>
      </c>
      <c r="D265">
        <v>12010</v>
      </c>
      <c r="E265">
        <v>17717</v>
      </c>
      <c r="F265">
        <v>1191</v>
      </c>
      <c r="G265">
        <v>664.74</v>
      </c>
      <c r="H265" s="4">
        <f t="shared" si="12"/>
        <v>6.7223570581926957</v>
      </c>
      <c r="I265" s="4">
        <f t="shared" si="13"/>
        <v>0.55813602015113351</v>
      </c>
      <c r="J265" s="4">
        <f t="shared" si="14"/>
        <v>37.519896144945534</v>
      </c>
      <c r="K265">
        <v>133</v>
      </c>
    </row>
    <row r="266" spans="1:11" x14ac:dyDescent="0.35">
      <c r="A266" t="s">
        <v>14</v>
      </c>
      <c r="B266" t="s">
        <v>15</v>
      </c>
      <c r="C266" t="s">
        <v>21</v>
      </c>
      <c r="D266">
        <v>18594</v>
      </c>
      <c r="E266">
        <v>30850</v>
      </c>
      <c r="F266">
        <v>1323</v>
      </c>
      <c r="G266">
        <v>811.36</v>
      </c>
      <c r="H266" s="4">
        <f t="shared" si="12"/>
        <v>4.2884927066450569</v>
      </c>
      <c r="I266" s="4">
        <f t="shared" si="13"/>
        <v>0.61327286470143616</v>
      </c>
      <c r="J266" s="4">
        <f t="shared" si="14"/>
        <v>26.300162074554294</v>
      </c>
      <c r="K266">
        <v>43</v>
      </c>
    </row>
    <row r="267" spans="1:11" x14ac:dyDescent="0.35">
      <c r="A267" t="s">
        <v>14</v>
      </c>
      <c r="B267" t="s">
        <v>15</v>
      </c>
      <c r="C267" t="s">
        <v>21</v>
      </c>
      <c r="D267">
        <v>15842</v>
      </c>
      <c r="E267">
        <v>38374</v>
      </c>
      <c r="F267">
        <v>1203</v>
      </c>
      <c r="G267">
        <v>1366.88</v>
      </c>
      <c r="H267" s="4">
        <f t="shared" si="12"/>
        <v>3.1349351123156302</v>
      </c>
      <c r="I267" s="4">
        <f t="shared" si="13"/>
        <v>1.1362261014131338</v>
      </c>
      <c r="J267" s="4">
        <f t="shared" si="14"/>
        <v>35.619951008495342</v>
      </c>
      <c r="K267">
        <v>133</v>
      </c>
    </row>
    <row r="268" spans="1:11" x14ac:dyDescent="0.35">
      <c r="A268" t="s">
        <v>14</v>
      </c>
      <c r="B268" t="s">
        <v>15</v>
      </c>
      <c r="C268" t="s">
        <v>19</v>
      </c>
      <c r="D268">
        <v>20267</v>
      </c>
      <c r="E268">
        <v>33159</v>
      </c>
      <c r="F268">
        <v>1506</v>
      </c>
      <c r="G268">
        <v>1427.49</v>
      </c>
      <c r="H268" s="4">
        <f t="shared" si="12"/>
        <v>4.5417533701257575</v>
      </c>
      <c r="I268" s="4">
        <f t="shared" si="13"/>
        <v>0.94786852589641435</v>
      </c>
      <c r="J268" s="4">
        <f t="shared" si="14"/>
        <v>43.049850719261741</v>
      </c>
      <c r="K268">
        <v>153</v>
      </c>
    </row>
    <row r="269" spans="1:11" x14ac:dyDescent="0.35">
      <c r="A269" t="s">
        <v>14</v>
      </c>
      <c r="B269" t="s">
        <v>15</v>
      </c>
      <c r="C269" t="s">
        <v>20</v>
      </c>
      <c r="D269">
        <v>7040</v>
      </c>
      <c r="E269">
        <v>15929</v>
      </c>
      <c r="F269">
        <v>1492</v>
      </c>
      <c r="G269">
        <v>1155.49</v>
      </c>
      <c r="H269" s="4">
        <f t="shared" si="12"/>
        <v>9.3665641283194176</v>
      </c>
      <c r="I269" s="4">
        <f t="shared" si="13"/>
        <v>0.77445710455764072</v>
      </c>
      <c r="J269" s="4">
        <f t="shared" si="14"/>
        <v>72.540021344717175</v>
      </c>
      <c r="K269">
        <v>91</v>
      </c>
    </row>
    <row r="270" spans="1:11" x14ac:dyDescent="0.35">
      <c r="A270" t="s">
        <v>14</v>
      </c>
      <c r="B270" t="s">
        <v>15</v>
      </c>
      <c r="C270" t="s">
        <v>21</v>
      </c>
      <c r="D270">
        <v>18767</v>
      </c>
      <c r="E270">
        <v>30778</v>
      </c>
      <c r="F270">
        <v>755</v>
      </c>
      <c r="G270">
        <v>2406.2199999999998</v>
      </c>
      <c r="H270" s="4">
        <f t="shared" si="12"/>
        <v>2.4530508804990578</v>
      </c>
      <c r="I270" s="4">
        <f t="shared" si="13"/>
        <v>3.1870463576158938</v>
      </c>
      <c r="J270" s="4">
        <f t="shared" si="14"/>
        <v>78.179868737409834</v>
      </c>
      <c r="K270">
        <v>89</v>
      </c>
    </row>
    <row r="271" spans="1:11" x14ac:dyDescent="0.35">
      <c r="A271" t="s">
        <v>14</v>
      </c>
      <c r="B271" t="s">
        <v>15</v>
      </c>
      <c r="C271" t="s">
        <v>21</v>
      </c>
      <c r="D271">
        <v>24139</v>
      </c>
      <c r="E271">
        <v>42775</v>
      </c>
      <c r="F271">
        <v>932</v>
      </c>
      <c r="G271">
        <v>1725.97</v>
      </c>
      <c r="H271" s="4">
        <f t="shared" si="12"/>
        <v>2.1788427819988314</v>
      </c>
      <c r="I271" s="4">
        <f t="shared" si="13"/>
        <v>1.8518991416309014</v>
      </c>
      <c r="J271" s="4">
        <f t="shared" si="14"/>
        <v>40.349970777323207</v>
      </c>
      <c r="K271">
        <v>82</v>
      </c>
    </row>
    <row r="272" spans="1:11" x14ac:dyDescent="0.35">
      <c r="A272" t="s">
        <v>14</v>
      </c>
      <c r="B272" t="s">
        <v>15</v>
      </c>
      <c r="C272" t="s">
        <v>21</v>
      </c>
      <c r="D272">
        <v>5640</v>
      </c>
      <c r="E272">
        <v>36073</v>
      </c>
      <c r="F272">
        <v>758</v>
      </c>
      <c r="G272">
        <v>2174.48</v>
      </c>
      <c r="H272" s="4">
        <f t="shared" si="12"/>
        <v>2.1012945970670582</v>
      </c>
      <c r="I272" s="4">
        <f t="shared" si="13"/>
        <v>2.8687071240105539</v>
      </c>
      <c r="J272" s="4">
        <f t="shared" si="14"/>
        <v>60.27998780251157</v>
      </c>
      <c r="K272">
        <v>34</v>
      </c>
    </row>
    <row r="273" spans="1:11" x14ac:dyDescent="0.35">
      <c r="A273" t="s">
        <v>14</v>
      </c>
      <c r="B273" t="s">
        <v>15</v>
      </c>
      <c r="C273" t="s">
        <v>21</v>
      </c>
      <c r="D273">
        <v>23864</v>
      </c>
      <c r="E273">
        <v>37255</v>
      </c>
      <c r="F273">
        <v>1190</v>
      </c>
      <c r="G273">
        <v>1750.24</v>
      </c>
      <c r="H273" s="4">
        <f t="shared" si="12"/>
        <v>3.1942021205207354</v>
      </c>
      <c r="I273" s="4">
        <f t="shared" si="13"/>
        <v>1.4707899159663866</v>
      </c>
      <c r="J273" s="4">
        <f t="shared" si="14"/>
        <v>46.980002684203463</v>
      </c>
      <c r="K273">
        <v>59</v>
      </c>
    </row>
    <row r="274" spans="1:11" x14ac:dyDescent="0.35">
      <c r="A274" t="s">
        <v>14</v>
      </c>
      <c r="B274" t="s">
        <v>15</v>
      </c>
      <c r="C274" t="s">
        <v>21</v>
      </c>
      <c r="D274">
        <v>20629</v>
      </c>
      <c r="E274">
        <v>26913</v>
      </c>
      <c r="F274">
        <v>904</v>
      </c>
      <c r="G274">
        <v>2125.0500000000002</v>
      </c>
      <c r="H274" s="4">
        <f t="shared" si="12"/>
        <v>3.3589715007617134</v>
      </c>
      <c r="I274" s="4">
        <f t="shared" si="13"/>
        <v>2.3507190265486728</v>
      </c>
      <c r="J274" s="4">
        <f t="shared" si="14"/>
        <v>78.9599821647531</v>
      </c>
      <c r="K274">
        <v>101</v>
      </c>
    </row>
    <row r="275" spans="1:11" x14ac:dyDescent="0.35">
      <c r="A275" t="s">
        <v>14</v>
      </c>
      <c r="B275" t="s">
        <v>15</v>
      </c>
      <c r="C275" t="s">
        <v>21</v>
      </c>
      <c r="D275">
        <v>16526</v>
      </c>
      <c r="E275">
        <v>31267</v>
      </c>
      <c r="F275">
        <v>812</v>
      </c>
      <c r="G275">
        <v>1703.74</v>
      </c>
      <c r="H275" s="4">
        <f t="shared" si="12"/>
        <v>2.5969872389420154</v>
      </c>
      <c r="I275" s="4">
        <f t="shared" si="13"/>
        <v>2.0982019704433497</v>
      </c>
      <c r="J275" s="4">
        <f t="shared" si="14"/>
        <v>54.490037419643713</v>
      </c>
      <c r="K275">
        <v>34</v>
      </c>
    </row>
    <row r="276" spans="1:11" x14ac:dyDescent="0.35">
      <c r="A276" t="s">
        <v>14</v>
      </c>
      <c r="B276" t="s">
        <v>15</v>
      </c>
      <c r="C276" t="s">
        <v>21</v>
      </c>
      <c r="D276">
        <v>17779</v>
      </c>
      <c r="E276">
        <v>36842</v>
      </c>
      <c r="F276">
        <v>1095</v>
      </c>
      <c r="G276">
        <v>2824.31</v>
      </c>
      <c r="H276" s="4">
        <f t="shared" si="12"/>
        <v>2.9721513490038545</v>
      </c>
      <c r="I276" s="4">
        <f t="shared" si="13"/>
        <v>2.5792785388127855</v>
      </c>
      <c r="J276" s="4">
        <f t="shared" si="14"/>
        <v>76.660061885891096</v>
      </c>
      <c r="K276">
        <v>59</v>
      </c>
    </row>
    <row r="277" spans="1:11" x14ac:dyDescent="0.35">
      <c r="A277" t="s">
        <v>14</v>
      </c>
      <c r="B277" t="s">
        <v>15</v>
      </c>
      <c r="C277" t="s">
        <v>19</v>
      </c>
      <c r="D277">
        <v>22636</v>
      </c>
      <c r="E277">
        <v>38373</v>
      </c>
      <c r="F277">
        <v>966</v>
      </c>
      <c r="G277">
        <v>1202.6099999999999</v>
      </c>
      <c r="H277" s="4">
        <f t="shared" si="12"/>
        <v>2.5173950433898833</v>
      </c>
      <c r="I277" s="4">
        <f t="shared" si="13"/>
        <v>1.2449378881987576</v>
      </c>
      <c r="J277" s="4">
        <f t="shared" si="14"/>
        <v>31.340004690798214</v>
      </c>
      <c r="K277">
        <v>76</v>
      </c>
    </row>
    <row r="278" spans="1:11" x14ac:dyDescent="0.35">
      <c r="A278" t="s">
        <v>14</v>
      </c>
      <c r="B278" t="s">
        <v>15</v>
      </c>
      <c r="C278" t="s">
        <v>19</v>
      </c>
      <c r="D278">
        <v>24767</v>
      </c>
      <c r="E278">
        <v>35810</v>
      </c>
      <c r="F278">
        <v>939</v>
      </c>
      <c r="G278">
        <v>2806.43</v>
      </c>
      <c r="H278" s="4">
        <f t="shared" si="12"/>
        <v>2.6221725774923206</v>
      </c>
      <c r="I278" s="4">
        <f t="shared" si="13"/>
        <v>2.9887433439829603</v>
      </c>
      <c r="J278" s="4">
        <f t="shared" si="14"/>
        <v>78.37000837754816</v>
      </c>
      <c r="K278">
        <v>103</v>
      </c>
    </row>
    <row r="279" spans="1:11" x14ac:dyDescent="0.35">
      <c r="A279" t="s">
        <v>14</v>
      </c>
      <c r="B279" t="s">
        <v>15</v>
      </c>
      <c r="C279" t="s">
        <v>19</v>
      </c>
      <c r="D279">
        <v>20998</v>
      </c>
      <c r="E279">
        <v>30892</v>
      </c>
      <c r="F279">
        <v>884</v>
      </c>
      <c r="G279">
        <v>1075.6600000000001</v>
      </c>
      <c r="H279" s="4">
        <f t="shared" si="12"/>
        <v>2.8615822866761622</v>
      </c>
      <c r="I279" s="4">
        <f t="shared" si="13"/>
        <v>1.2168099547511313</v>
      </c>
      <c r="J279" s="4">
        <f t="shared" si="14"/>
        <v>34.8200181276706</v>
      </c>
      <c r="K279">
        <v>76</v>
      </c>
    </row>
    <row r="280" spans="1:11" x14ac:dyDescent="0.35">
      <c r="A280" t="s">
        <v>14</v>
      </c>
      <c r="B280" t="s">
        <v>15</v>
      </c>
      <c r="C280" t="s">
        <v>20</v>
      </c>
      <c r="D280">
        <v>13943</v>
      </c>
      <c r="E280">
        <v>32406</v>
      </c>
      <c r="F280">
        <v>615</v>
      </c>
      <c r="G280">
        <v>2525.7199999999998</v>
      </c>
      <c r="H280" s="4">
        <f t="shared" si="12"/>
        <v>1.897796704314016</v>
      </c>
      <c r="I280" s="4">
        <f t="shared" si="13"/>
        <v>4.106861788617886</v>
      </c>
      <c r="J280" s="4">
        <f t="shared" si="14"/>
        <v>77.939887675121895</v>
      </c>
      <c r="K280">
        <v>66</v>
      </c>
    </row>
    <row r="281" spans="1:11" x14ac:dyDescent="0.35">
      <c r="A281" t="s">
        <v>14</v>
      </c>
      <c r="B281" t="s">
        <v>15</v>
      </c>
      <c r="C281" t="s">
        <v>20</v>
      </c>
      <c r="D281">
        <v>20913</v>
      </c>
      <c r="E281">
        <v>27661</v>
      </c>
      <c r="F281">
        <v>1064</v>
      </c>
      <c r="G281">
        <v>1095.3800000000001</v>
      </c>
      <c r="H281" s="4">
        <f t="shared" si="12"/>
        <v>3.846570984418495</v>
      </c>
      <c r="I281" s="4">
        <f t="shared" si="13"/>
        <v>1.0294924812030075</v>
      </c>
      <c r="J281" s="4">
        <f t="shared" si="14"/>
        <v>39.600159068724928</v>
      </c>
      <c r="K281">
        <v>45</v>
      </c>
    </row>
    <row r="282" spans="1:11" x14ac:dyDescent="0.35">
      <c r="A282" t="s">
        <v>14</v>
      </c>
      <c r="B282" t="s">
        <v>16</v>
      </c>
      <c r="C282" t="s">
        <v>19</v>
      </c>
      <c r="D282">
        <v>17742</v>
      </c>
      <c r="E282">
        <v>34078</v>
      </c>
      <c r="F282">
        <v>1150</v>
      </c>
      <c r="G282">
        <v>1055.05</v>
      </c>
      <c r="H282" s="4">
        <f t="shared" si="12"/>
        <v>3.3746111861024706</v>
      </c>
      <c r="I282" s="4">
        <f t="shared" si="13"/>
        <v>0.9174347826086956</v>
      </c>
      <c r="J282" s="4">
        <f t="shared" si="14"/>
        <v>30.959856799107925</v>
      </c>
      <c r="K282">
        <v>99</v>
      </c>
    </row>
    <row r="283" spans="1:11" x14ac:dyDescent="0.35">
      <c r="A283" t="s">
        <v>14</v>
      </c>
      <c r="B283" t="s">
        <v>16</v>
      </c>
      <c r="C283" t="s">
        <v>19</v>
      </c>
      <c r="D283">
        <v>18248</v>
      </c>
      <c r="E283">
        <v>35586</v>
      </c>
      <c r="F283">
        <v>898</v>
      </c>
      <c r="G283">
        <v>1740.16</v>
      </c>
      <c r="H283" s="4">
        <f t="shared" si="12"/>
        <v>2.5234642837070758</v>
      </c>
      <c r="I283" s="4">
        <f t="shared" si="13"/>
        <v>1.9378173719376393</v>
      </c>
      <c r="J283" s="4">
        <f t="shared" si="14"/>
        <v>48.900129264317428</v>
      </c>
      <c r="K283">
        <v>0</v>
      </c>
    </row>
    <row r="284" spans="1:11" x14ac:dyDescent="0.35">
      <c r="A284" t="s">
        <v>14</v>
      </c>
      <c r="B284" t="s">
        <v>16</v>
      </c>
      <c r="C284" t="s">
        <v>19</v>
      </c>
      <c r="D284">
        <v>10408</v>
      </c>
      <c r="E284">
        <v>28845</v>
      </c>
      <c r="F284">
        <v>1137</v>
      </c>
      <c r="G284">
        <v>1876.94</v>
      </c>
      <c r="H284" s="4">
        <f t="shared" si="12"/>
        <v>3.9417576703068122</v>
      </c>
      <c r="I284" s="4">
        <f t="shared" si="13"/>
        <v>1.650782761653474</v>
      </c>
      <c r="J284" s="4">
        <f t="shared" si="14"/>
        <v>65.069856127578447</v>
      </c>
      <c r="K284">
        <v>41</v>
      </c>
    </row>
    <row r="285" spans="1:11" x14ac:dyDescent="0.35">
      <c r="A285" t="s">
        <v>14</v>
      </c>
      <c r="B285" t="s">
        <v>16</v>
      </c>
      <c r="C285" t="s">
        <v>19</v>
      </c>
      <c r="D285">
        <v>9182</v>
      </c>
      <c r="E285">
        <v>32326</v>
      </c>
      <c r="F285">
        <v>1107</v>
      </c>
      <c r="G285">
        <v>1365.77</v>
      </c>
      <c r="H285" s="4">
        <f t="shared" si="12"/>
        <v>3.424488028212584</v>
      </c>
      <c r="I285" s="4">
        <f t="shared" si="13"/>
        <v>1.2337579042457092</v>
      </c>
      <c r="J285" s="4">
        <f t="shared" si="14"/>
        <v>42.249891728020785</v>
      </c>
      <c r="K285">
        <v>41</v>
      </c>
    </row>
    <row r="286" spans="1:11" x14ac:dyDescent="0.35">
      <c r="A286" t="s">
        <v>14</v>
      </c>
      <c r="B286" t="s">
        <v>16</v>
      </c>
      <c r="C286" t="s">
        <v>20</v>
      </c>
      <c r="D286">
        <v>22502</v>
      </c>
      <c r="E286">
        <v>29693</v>
      </c>
      <c r="F286">
        <v>1018</v>
      </c>
      <c r="G286">
        <v>1732.29</v>
      </c>
      <c r="H286" s="4">
        <f t="shared" si="12"/>
        <v>3.4284174721314784</v>
      </c>
      <c r="I286" s="4">
        <f t="shared" si="13"/>
        <v>1.7016601178781925</v>
      </c>
      <c r="J286" s="4">
        <f t="shared" si="14"/>
        <v>58.340012797629072</v>
      </c>
      <c r="K286">
        <v>101</v>
      </c>
    </row>
    <row r="287" spans="1:11" x14ac:dyDescent="0.35">
      <c r="A287" t="s">
        <v>14</v>
      </c>
      <c r="B287" t="s">
        <v>16</v>
      </c>
      <c r="C287" t="s">
        <v>20</v>
      </c>
      <c r="D287">
        <v>17911</v>
      </c>
      <c r="E287">
        <v>24172</v>
      </c>
      <c r="F287">
        <v>1037</v>
      </c>
      <c r="G287">
        <v>1284.26</v>
      </c>
      <c r="H287" s="4">
        <f t="shared" si="12"/>
        <v>4.2900877047823931</v>
      </c>
      <c r="I287" s="4">
        <f t="shared" si="13"/>
        <v>1.2384378013500481</v>
      </c>
      <c r="J287" s="4">
        <f t="shared" si="14"/>
        <v>53.130067847095816</v>
      </c>
      <c r="K287">
        <v>109</v>
      </c>
    </row>
    <row r="288" spans="1:11" x14ac:dyDescent="0.35">
      <c r="A288" t="s">
        <v>14</v>
      </c>
      <c r="B288" t="s">
        <v>16</v>
      </c>
      <c r="C288" t="s">
        <v>19</v>
      </c>
      <c r="D288">
        <v>7750</v>
      </c>
      <c r="E288">
        <v>31136</v>
      </c>
      <c r="F288">
        <v>1005</v>
      </c>
      <c r="G288">
        <v>1438.17</v>
      </c>
      <c r="H288" s="4">
        <f t="shared" si="12"/>
        <v>3.2277749229188082</v>
      </c>
      <c r="I288" s="4">
        <f t="shared" si="13"/>
        <v>1.4310149253731343</v>
      </c>
      <c r="J288" s="4">
        <f t="shared" si="14"/>
        <v>46.189940904419323</v>
      </c>
      <c r="K288">
        <v>102</v>
      </c>
    </row>
    <row r="289" spans="1:11" x14ac:dyDescent="0.35">
      <c r="A289" t="s">
        <v>14</v>
      </c>
      <c r="B289" t="s">
        <v>16</v>
      </c>
      <c r="C289" t="s">
        <v>19</v>
      </c>
      <c r="D289">
        <v>19044</v>
      </c>
      <c r="E289">
        <v>26980</v>
      </c>
      <c r="F289">
        <v>890</v>
      </c>
      <c r="G289">
        <v>1530.04</v>
      </c>
      <c r="H289" s="4">
        <f t="shared" si="12"/>
        <v>3.2987398072646403</v>
      </c>
      <c r="I289" s="4">
        <f t="shared" si="13"/>
        <v>1.7191460674157304</v>
      </c>
      <c r="J289" s="4">
        <f t="shared" si="14"/>
        <v>56.710155670867302</v>
      </c>
      <c r="K289">
        <v>82</v>
      </c>
    </row>
    <row r="290" spans="1:11" x14ac:dyDescent="0.35">
      <c r="A290" t="s">
        <v>14</v>
      </c>
      <c r="B290" t="s">
        <v>16</v>
      </c>
      <c r="C290" t="s">
        <v>19</v>
      </c>
      <c r="D290">
        <v>20128</v>
      </c>
      <c r="E290">
        <v>29143</v>
      </c>
      <c r="F290">
        <v>1106</v>
      </c>
      <c r="G290">
        <v>1136.8699999999999</v>
      </c>
      <c r="H290" s="4">
        <f t="shared" si="12"/>
        <v>3.7950794358851181</v>
      </c>
      <c r="I290" s="4">
        <f t="shared" si="13"/>
        <v>1.0279113924050631</v>
      </c>
      <c r="J290" s="4">
        <f t="shared" si="14"/>
        <v>39.010053872284935</v>
      </c>
      <c r="K290">
        <v>54</v>
      </c>
    </row>
    <row r="291" spans="1:11" x14ac:dyDescent="0.35">
      <c r="A291" t="s">
        <v>14</v>
      </c>
      <c r="B291" t="s">
        <v>16</v>
      </c>
      <c r="C291" t="s">
        <v>19</v>
      </c>
      <c r="D291">
        <v>6647</v>
      </c>
      <c r="E291">
        <v>17165</v>
      </c>
      <c r="F291">
        <v>1150</v>
      </c>
      <c r="G291">
        <v>1098.22</v>
      </c>
      <c r="H291" s="4">
        <f t="shared" si="12"/>
        <v>6.699679580541801</v>
      </c>
      <c r="I291" s="4">
        <f t="shared" si="13"/>
        <v>0.95497391304347834</v>
      </c>
      <c r="J291" s="4">
        <f t="shared" si="14"/>
        <v>63.980192251674922</v>
      </c>
      <c r="K291">
        <v>90</v>
      </c>
    </row>
    <row r="292" spans="1:11" x14ac:dyDescent="0.35">
      <c r="A292" t="s">
        <v>14</v>
      </c>
      <c r="B292" t="s">
        <v>16</v>
      </c>
      <c r="C292" t="s">
        <v>20</v>
      </c>
      <c r="D292">
        <v>17422</v>
      </c>
      <c r="E292">
        <v>33374</v>
      </c>
      <c r="F292">
        <v>981</v>
      </c>
      <c r="G292">
        <v>837.35</v>
      </c>
      <c r="H292" s="4">
        <f t="shared" si="12"/>
        <v>2.9394139150236711</v>
      </c>
      <c r="I292" s="4">
        <f t="shared" si="13"/>
        <v>0.85356778797145771</v>
      </c>
      <c r="J292" s="4">
        <f t="shared" si="14"/>
        <v>25.089890333792773</v>
      </c>
      <c r="K292">
        <v>28</v>
      </c>
    </row>
    <row r="293" spans="1:11" x14ac:dyDescent="0.35">
      <c r="A293" t="s">
        <v>14</v>
      </c>
      <c r="B293" t="s">
        <v>16</v>
      </c>
      <c r="C293" t="s">
        <v>20</v>
      </c>
      <c r="D293">
        <v>11935</v>
      </c>
      <c r="E293">
        <v>30414</v>
      </c>
      <c r="F293">
        <v>1424</v>
      </c>
      <c r="G293">
        <v>2308.73</v>
      </c>
      <c r="H293" s="4">
        <f t="shared" si="12"/>
        <v>4.6820543170908131</v>
      </c>
      <c r="I293" s="4">
        <f t="shared" si="13"/>
        <v>1.6212991573033708</v>
      </c>
      <c r="J293" s="4">
        <f t="shared" si="14"/>
        <v>75.910107187479454</v>
      </c>
      <c r="K293">
        <v>57</v>
      </c>
    </row>
    <row r="294" spans="1:11" x14ac:dyDescent="0.35">
      <c r="A294" t="s">
        <v>14</v>
      </c>
      <c r="B294" t="s">
        <v>16</v>
      </c>
      <c r="C294" t="s">
        <v>20</v>
      </c>
      <c r="D294">
        <v>15710</v>
      </c>
      <c r="E294">
        <v>31482</v>
      </c>
      <c r="F294">
        <v>1356</v>
      </c>
      <c r="G294">
        <v>1719.23</v>
      </c>
      <c r="H294" s="4">
        <f t="shared" si="12"/>
        <v>4.3072231751477039</v>
      </c>
      <c r="I294" s="4">
        <f t="shared" si="13"/>
        <v>1.2678687315634218</v>
      </c>
      <c r="J294" s="4">
        <f t="shared" si="14"/>
        <v>54.609935836350928</v>
      </c>
      <c r="K294">
        <v>70</v>
      </c>
    </row>
    <row r="295" spans="1:11" x14ac:dyDescent="0.35">
      <c r="A295" t="s">
        <v>14</v>
      </c>
      <c r="B295" t="s">
        <v>16</v>
      </c>
      <c r="C295" t="s">
        <v>19</v>
      </c>
      <c r="D295">
        <v>17423</v>
      </c>
      <c r="E295">
        <v>31766</v>
      </c>
      <c r="F295">
        <v>999</v>
      </c>
      <c r="G295">
        <v>2051.13</v>
      </c>
      <c r="H295" s="4">
        <f t="shared" si="12"/>
        <v>3.1448718755902534</v>
      </c>
      <c r="I295" s="4">
        <f t="shared" si="13"/>
        <v>2.0531831831831835</v>
      </c>
      <c r="J295" s="4">
        <f t="shared" si="14"/>
        <v>64.569980482276648</v>
      </c>
      <c r="K295">
        <v>95</v>
      </c>
    </row>
    <row r="296" spans="1:11" x14ac:dyDescent="0.35">
      <c r="A296" t="s">
        <v>14</v>
      </c>
      <c r="B296" t="s">
        <v>16</v>
      </c>
      <c r="C296" t="s">
        <v>19</v>
      </c>
      <c r="D296">
        <v>18813</v>
      </c>
      <c r="E296">
        <v>28589</v>
      </c>
      <c r="F296">
        <v>994</v>
      </c>
      <c r="G296">
        <v>1881.44</v>
      </c>
      <c r="H296" s="4">
        <f t="shared" si="12"/>
        <v>3.4768617300360281</v>
      </c>
      <c r="I296" s="4">
        <f t="shared" si="13"/>
        <v>1.8927967806841046</v>
      </c>
      <c r="J296" s="4">
        <f t="shared" si="14"/>
        <v>65.809926894959602</v>
      </c>
      <c r="K296">
        <v>61</v>
      </c>
    </row>
    <row r="297" spans="1:11" x14ac:dyDescent="0.35">
      <c r="A297" t="s">
        <v>14</v>
      </c>
      <c r="B297" t="s">
        <v>16</v>
      </c>
      <c r="C297" t="s">
        <v>20</v>
      </c>
      <c r="D297">
        <v>7683</v>
      </c>
      <c r="E297">
        <v>25398</v>
      </c>
      <c r="F297">
        <v>1180</v>
      </c>
      <c r="G297">
        <v>1571.63</v>
      </c>
      <c r="H297" s="4">
        <f t="shared" si="12"/>
        <v>4.6460351208756592</v>
      </c>
      <c r="I297" s="4">
        <f t="shared" si="13"/>
        <v>1.3318898305084748</v>
      </c>
      <c r="J297" s="4">
        <f t="shared" si="14"/>
        <v>61.880069296795028</v>
      </c>
      <c r="K297">
        <v>55</v>
      </c>
    </row>
    <row r="298" spans="1:11" x14ac:dyDescent="0.35">
      <c r="A298" t="s">
        <v>14</v>
      </c>
      <c r="B298" t="s">
        <v>16</v>
      </c>
      <c r="C298" t="s">
        <v>20</v>
      </c>
      <c r="D298">
        <v>5635</v>
      </c>
      <c r="E298">
        <v>32544</v>
      </c>
      <c r="F298">
        <v>1342</v>
      </c>
      <c r="G298">
        <v>1465.46</v>
      </c>
      <c r="H298" s="4">
        <f t="shared" si="12"/>
        <v>4.1236479842674534</v>
      </c>
      <c r="I298" s="4">
        <f t="shared" si="13"/>
        <v>1.0919970193740687</v>
      </c>
      <c r="J298" s="4">
        <f t="shared" si="14"/>
        <v>45.030113077679452</v>
      </c>
      <c r="K298">
        <v>107</v>
      </c>
    </row>
    <row r="299" spans="1:11" x14ac:dyDescent="0.35">
      <c r="A299" t="s">
        <v>14</v>
      </c>
      <c r="B299" t="s">
        <v>16</v>
      </c>
      <c r="C299" t="s">
        <v>21</v>
      </c>
      <c r="D299">
        <v>22675</v>
      </c>
      <c r="E299">
        <v>30330</v>
      </c>
      <c r="F299">
        <v>994</v>
      </c>
      <c r="G299">
        <v>875.02</v>
      </c>
      <c r="H299" s="4">
        <f t="shared" si="12"/>
        <v>3.2772832179360369</v>
      </c>
      <c r="I299" s="4">
        <f t="shared" si="13"/>
        <v>0.8803018108651911</v>
      </c>
      <c r="J299" s="4">
        <f t="shared" si="14"/>
        <v>28.849983514671941</v>
      </c>
      <c r="K299">
        <v>78</v>
      </c>
    </row>
    <row r="300" spans="1:11" x14ac:dyDescent="0.35">
      <c r="A300" t="s">
        <v>14</v>
      </c>
      <c r="B300" t="s">
        <v>16</v>
      </c>
      <c r="C300" t="s">
        <v>19</v>
      </c>
      <c r="D300">
        <v>16467</v>
      </c>
      <c r="E300">
        <v>28754</v>
      </c>
      <c r="F300">
        <v>953</v>
      </c>
      <c r="G300">
        <v>1769.23</v>
      </c>
      <c r="H300" s="4">
        <f t="shared" si="12"/>
        <v>3.3143214857063361</v>
      </c>
      <c r="I300" s="4">
        <f t="shared" si="13"/>
        <v>1.8564847848898216</v>
      </c>
      <c r="J300" s="4">
        <f t="shared" si="14"/>
        <v>61.52987410447242</v>
      </c>
      <c r="K300">
        <v>92</v>
      </c>
    </row>
    <row r="301" spans="1:11" x14ac:dyDescent="0.35">
      <c r="A301" t="s">
        <v>14</v>
      </c>
      <c r="B301" t="s">
        <v>16</v>
      </c>
      <c r="C301" t="s">
        <v>20</v>
      </c>
      <c r="D301">
        <v>7248</v>
      </c>
      <c r="E301">
        <v>35021</v>
      </c>
      <c r="F301">
        <v>801</v>
      </c>
      <c r="G301">
        <v>1511.51</v>
      </c>
      <c r="H301" s="4">
        <f t="shared" si="12"/>
        <v>2.2871991091059649</v>
      </c>
      <c r="I301" s="4">
        <f t="shared" si="13"/>
        <v>1.8870287141073658</v>
      </c>
      <c r="J301" s="4">
        <f t="shared" si="14"/>
        <v>43.160103937637416</v>
      </c>
      <c r="K301">
        <v>42</v>
      </c>
    </row>
    <row r="302" spans="1:11" x14ac:dyDescent="0.35">
      <c r="A302" t="s">
        <v>14</v>
      </c>
      <c r="B302" t="s">
        <v>17</v>
      </c>
      <c r="C302" t="s">
        <v>21</v>
      </c>
      <c r="D302">
        <v>6319</v>
      </c>
      <c r="E302">
        <v>32928</v>
      </c>
      <c r="F302">
        <v>1158</v>
      </c>
      <c r="G302">
        <v>1391.87</v>
      </c>
      <c r="H302" s="4">
        <f t="shared" si="12"/>
        <v>3.5167638483965016</v>
      </c>
      <c r="I302" s="4">
        <f t="shared" si="13"/>
        <v>1.2019602763385147</v>
      </c>
      <c r="J302" s="4">
        <f t="shared" si="14"/>
        <v>42.27010447035957</v>
      </c>
      <c r="K302">
        <v>110</v>
      </c>
    </row>
    <row r="303" spans="1:11" x14ac:dyDescent="0.35">
      <c r="A303" t="s">
        <v>14</v>
      </c>
      <c r="B303" t="s">
        <v>17</v>
      </c>
      <c r="C303" t="s">
        <v>21</v>
      </c>
      <c r="D303">
        <v>6016</v>
      </c>
      <c r="E303">
        <v>39116</v>
      </c>
      <c r="F303">
        <v>818</v>
      </c>
      <c r="G303">
        <v>2802.27</v>
      </c>
      <c r="H303" s="4">
        <f t="shared" si="12"/>
        <v>2.0912158707434298</v>
      </c>
      <c r="I303" s="4">
        <f t="shared" si="13"/>
        <v>3.4257579462102687</v>
      </c>
      <c r="J303" s="4">
        <f t="shared" si="14"/>
        <v>71.639993864403309</v>
      </c>
      <c r="K303">
        <v>70</v>
      </c>
    </row>
    <row r="304" spans="1:11" x14ac:dyDescent="0.35">
      <c r="A304" t="s">
        <v>14</v>
      </c>
      <c r="B304" t="s">
        <v>17</v>
      </c>
      <c r="C304" t="s">
        <v>19</v>
      </c>
      <c r="D304">
        <v>13102</v>
      </c>
      <c r="E304">
        <v>23564</v>
      </c>
      <c r="F304">
        <v>907</v>
      </c>
      <c r="G304">
        <v>1522</v>
      </c>
      <c r="H304" s="4">
        <f t="shared" si="12"/>
        <v>3.8490918350025467</v>
      </c>
      <c r="I304" s="4">
        <f t="shared" si="13"/>
        <v>1.6780595369349505</v>
      </c>
      <c r="J304" s="4">
        <f t="shared" si="14"/>
        <v>64.590052622644706</v>
      </c>
      <c r="K304">
        <v>85</v>
      </c>
    </row>
    <row r="305" spans="1:11" x14ac:dyDescent="0.35">
      <c r="A305" t="s">
        <v>14</v>
      </c>
      <c r="B305" t="s">
        <v>17</v>
      </c>
      <c r="C305" t="s">
        <v>19</v>
      </c>
      <c r="D305">
        <v>5667</v>
      </c>
      <c r="E305">
        <v>28359</v>
      </c>
      <c r="F305">
        <v>1079</v>
      </c>
      <c r="G305">
        <v>1177.47</v>
      </c>
      <c r="H305" s="4">
        <f t="shared" si="12"/>
        <v>3.8047886032652771</v>
      </c>
      <c r="I305" s="4">
        <f t="shared" si="13"/>
        <v>1.0912604263206673</v>
      </c>
      <c r="J305" s="4">
        <f t="shared" si="14"/>
        <v>41.520152332592829</v>
      </c>
      <c r="K305">
        <v>81</v>
      </c>
    </row>
    <row r="306" spans="1:11" x14ac:dyDescent="0.35">
      <c r="A306" t="s">
        <v>14</v>
      </c>
      <c r="B306" t="s">
        <v>17</v>
      </c>
      <c r="C306" t="s">
        <v>20</v>
      </c>
      <c r="D306">
        <v>9993</v>
      </c>
      <c r="E306">
        <v>20806</v>
      </c>
      <c r="F306">
        <v>1173</v>
      </c>
      <c r="G306">
        <v>874.06</v>
      </c>
      <c r="H306" s="4">
        <f t="shared" si="12"/>
        <v>5.6377967893876768</v>
      </c>
      <c r="I306" s="4">
        <f t="shared" si="13"/>
        <v>0.74514919011082692</v>
      </c>
      <c r="J306" s="4">
        <f t="shared" si="14"/>
        <v>42.009997116216475</v>
      </c>
      <c r="K306">
        <v>62</v>
      </c>
    </row>
    <row r="307" spans="1:11" x14ac:dyDescent="0.35">
      <c r="A307" t="s">
        <v>14</v>
      </c>
      <c r="B307" t="s">
        <v>17</v>
      </c>
      <c r="C307" t="s">
        <v>20</v>
      </c>
      <c r="D307">
        <v>9136</v>
      </c>
      <c r="E307">
        <v>27393</v>
      </c>
      <c r="F307">
        <v>1205</v>
      </c>
      <c r="G307">
        <v>1300.07</v>
      </c>
      <c r="H307" s="4">
        <f t="shared" si="12"/>
        <v>4.3989340342423242</v>
      </c>
      <c r="I307" s="4">
        <f t="shared" si="13"/>
        <v>1.0788962655601659</v>
      </c>
      <c r="J307" s="4">
        <f t="shared" si="14"/>
        <v>47.459935019895596</v>
      </c>
      <c r="K307">
        <v>44</v>
      </c>
    </row>
    <row r="308" spans="1:11" x14ac:dyDescent="0.35">
      <c r="A308" t="s">
        <v>14</v>
      </c>
      <c r="B308" t="s">
        <v>17</v>
      </c>
      <c r="C308" t="s">
        <v>20</v>
      </c>
      <c r="D308">
        <v>8748</v>
      </c>
      <c r="E308">
        <v>29852</v>
      </c>
      <c r="F308">
        <v>1132</v>
      </c>
      <c r="G308">
        <v>1406.92</v>
      </c>
      <c r="H308" s="4">
        <f t="shared" si="12"/>
        <v>3.7920407342891602</v>
      </c>
      <c r="I308" s="4">
        <f t="shared" si="13"/>
        <v>1.2428621908127209</v>
      </c>
      <c r="J308" s="4">
        <f t="shared" si="14"/>
        <v>47.129840546697039</v>
      </c>
      <c r="K308">
        <v>124</v>
      </c>
    </row>
    <row r="309" spans="1:11" x14ac:dyDescent="0.35">
      <c r="A309" t="s">
        <v>14</v>
      </c>
      <c r="B309" t="s">
        <v>17</v>
      </c>
      <c r="C309" t="s">
        <v>20</v>
      </c>
      <c r="D309">
        <v>12142</v>
      </c>
      <c r="E309">
        <v>31022</v>
      </c>
      <c r="F309">
        <v>927</v>
      </c>
      <c r="G309">
        <v>1279.97</v>
      </c>
      <c r="H309" s="4">
        <f t="shared" si="12"/>
        <v>2.9882019212172009</v>
      </c>
      <c r="I309" s="4">
        <f t="shared" si="13"/>
        <v>1.3807659115426105</v>
      </c>
      <c r="J309" s="4">
        <f t="shared" si="14"/>
        <v>41.260073496228486</v>
      </c>
      <c r="K309">
        <v>55</v>
      </c>
    </row>
    <row r="310" spans="1:11" x14ac:dyDescent="0.35">
      <c r="A310" t="s">
        <v>14</v>
      </c>
      <c r="B310" t="s">
        <v>17</v>
      </c>
      <c r="C310" t="s">
        <v>20</v>
      </c>
      <c r="D310">
        <v>13396</v>
      </c>
      <c r="E310">
        <v>29501</v>
      </c>
      <c r="F310">
        <v>1210</v>
      </c>
      <c r="G310">
        <v>944.03</v>
      </c>
      <c r="H310" s="4">
        <f t="shared" si="12"/>
        <v>4.1015558794617126</v>
      </c>
      <c r="I310" s="4">
        <f t="shared" si="13"/>
        <v>0.78019008264462808</v>
      </c>
      <c r="J310" s="4">
        <f t="shared" si="14"/>
        <v>31.999932205687941</v>
      </c>
      <c r="K310">
        <v>42</v>
      </c>
    </row>
    <row r="311" spans="1:11" x14ac:dyDescent="0.35">
      <c r="A311" t="s">
        <v>14</v>
      </c>
      <c r="B311" t="s">
        <v>17</v>
      </c>
      <c r="C311" t="s">
        <v>20</v>
      </c>
      <c r="D311">
        <v>10498</v>
      </c>
      <c r="E311">
        <v>33500</v>
      </c>
      <c r="F311">
        <v>1079</v>
      </c>
      <c r="G311">
        <v>1612.02</v>
      </c>
      <c r="H311" s="4">
        <f t="shared" si="12"/>
        <v>3.22089552238806</v>
      </c>
      <c r="I311" s="4">
        <f t="shared" si="13"/>
        <v>1.4939944392956441</v>
      </c>
      <c r="J311" s="4">
        <f t="shared" si="14"/>
        <v>48.12</v>
      </c>
      <c r="K311">
        <v>43</v>
      </c>
    </row>
    <row r="312" spans="1:11" x14ac:dyDescent="0.35">
      <c r="A312" t="s">
        <v>14</v>
      </c>
      <c r="B312" t="s">
        <v>17</v>
      </c>
      <c r="C312" t="s">
        <v>20</v>
      </c>
      <c r="D312">
        <v>24898</v>
      </c>
      <c r="E312">
        <v>44621</v>
      </c>
      <c r="F312">
        <v>1175</v>
      </c>
      <c r="G312">
        <v>3423.32</v>
      </c>
      <c r="H312" s="4">
        <f t="shared" si="12"/>
        <v>2.6332892584209229</v>
      </c>
      <c r="I312" s="4">
        <f t="shared" si="13"/>
        <v>2.9134638297872342</v>
      </c>
      <c r="J312" s="4">
        <f t="shared" si="14"/>
        <v>76.71993007776608</v>
      </c>
      <c r="K312">
        <v>44</v>
      </c>
    </row>
    <row r="313" spans="1:11" x14ac:dyDescent="0.35">
      <c r="A313" t="s">
        <v>14</v>
      </c>
      <c r="B313" t="s">
        <v>17</v>
      </c>
      <c r="C313" t="s">
        <v>20</v>
      </c>
      <c r="D313">
        <v>8753</v>
      </c>
      <c r="E313">
        <v>36864</v>
      </c>
      <c r="F313">
        <v>1081</v>
      </c>
      <c r="G313">
        <v>2294.7800000000002</v>
      </c>
      <c r="H313" s="4">
        <f t="shared" si="12"/>
        <v>2.9324001736111112</v>
      </c>
      <c r="I313" s="4">
        <f t="shared" si="13"/>
        <v>2.1228307123034229</v>
      </c>
      <c r="J313" s="4">
        <f t="shared" si="14"/>
        <v>62.249891493055564</v>
      </c>
      <c r="K313">
        <v>124</v>
      </c>
    </row>
    <row r="314" spans="1:11" x14ac:dyDescent="0.35">
      <c r="A314" t="s">
        <v>14</v>
      </c>
      <c r="B314" t="s">
        <v>17</v>
      </c>
      <c r="C314" t="s">
        <v>20</v>
      </c>
      <c r="D314">
        <v>10366</v>
      </c>
      <c r="E314">
        <v>23667</v>
      </c>
      <c r="F314">
        <v>1200</v>
      </c>
      <c r="G314">
        <v>1766.74</v>
      </c>
      <c r="H314" s="4">
        <f t="shared" si="12"/>
        <v>5.070351121815186</v>
      </c>
      <c r="I314" s="4">
        <f t="shared" si="13"/>
        <v>1.4722833333333334</v>
      </c>
      <c r="J314" s="4">
        <f t="shared" si="14"/>
        <v>74.649934507964673</v>
      </c>
      <c r="K314">
        <v>104</v>
      </c>
    </row>
    <row r="315" spans="1:11" x14ac:dyDescent="0.35">
      <c r="A315" t="s">
        <v>14</v>
      </c>
      <c r="B315" t="s">
        <v>17</v>
      </c>
      <c r="C315" t="s">
        <v>20</v>
      </c>
      <c r="D315">
        <v>8542</v>
      </c>
      <c r="E315">
        <v>30066</v>
      </c>
      <c r="F315">
        <v>1441</v>
      </c>
      <c r="G315">
        <v>1769.38</v>
      </c>
      <c r="H315" s="4">
        <f t="shared" si="12"/>
        <v>4.7927891970997134</v>
      </c>
      <c r="I315" s="4">
        <f t="shared" si="13"/>
        <v>1.2278834142956281</v>
      </c>
      <c r="J315" s="4">
        <f t="shared" si="14"/>
        <v>58.849863633339986</v>
      </c>
      <c r="K315">
        <v>168</v>
      </c>
    </row>
    <row r="316" spans="1:11" x14ac:dyDescent="0.35">
      <c r="A316" t="s">
        <v>14</v>
      </c>
      <c r="B316" t="s">
        <v>17</v>
      </c>
      <c r="C316" t="s">
        <v>20</v>
      </c>
      <c r="D316">
        <v>5841</v>
      </c>
      <c r="E316">
        <v>38437</v>
      </c>
      <c r="F316">
        <v>874</v>
      </c>
      <c r="G316">
        <v>1597.06</v>
      </c>
      <c r="H316" s="4">
        <f t="shared" si="12"/>
        <v>2.2738507167572912</v>
      </c>
      <c r="I316" s="4">
        <f t="shared" si="13"/>
        <v>1.827299771167048</v>
      </c>
      <c r="J316" s="4">
        <f t="shared" si="14"/>
        <v>41.550068943986261</v>
      </c>
      <c r="K316">
        <v>103</v>
      </c>
    </row>
    <row r="317" spans="1:11" x14ac:dyDescent="0.35">
      <c r="A317" t="s">
        <v>14</v>
      </c>
      <c r="B317" t="s">
        <v>17</v>
      </c>
      <c r="C317" t="s">
        <v>20</v>
      </c>
      <c r="D317">
        <v>15222</v>
      </c>
      <c r="E317">
        <v>38655</v>
      </c>
      <c r="F317">
        <v>1182</v>
      </c>
      <c r="G317">
        <v>2131.44</v>
      </c>
      <c r="H317" s="4">
        <f t="shared" si="12"/>
        <v>3.0578191695770274</v>
      </c>
      <c r="I317" s="4">
        <f t="shared" si="13"/>
        <v>1.8032487309644671</v>
      </c>
      <c r="J317" s="4">
        <f t="shared" si="14"/>
        <v>55.140085370585957</v>
      </c>
      <c r="K317">
        <v>89</v>
      </c>
    </row>
    <row r="318" spans="1:11" x14ac:dyDescent="0.35">
      <c r="A318" t="s">
        <v>14</v>
      </c>
      <c r="B318" t="s">
        <v>17</v>
      </c>
      <c r="C318" t="s">
        <v>20</v>
      </c>
      <c r="D318">
        <v>17298</v>
      </c>
      <c r="E318">
        <v>35484</v>
      </c>
      <c r="F318">
        <v>1480</v>
      </c>
      <c r="G318">
        <v>887.81</v>
      </c>
      <c r="H318" s="4">
        <f t="shared" si="12"/>
        <v>4.1708939240220948</v>
      </c>
      <c r="I318" s="4">
        <f t="shared" si="13"/>
        <v>0.59987162162162155</v>
      </c>
      <c r="J318" s="4">
        <f t="shared" si="14"/>
        <v>25.020009018149022</v>
      </c>
      <c r="K318">
        <v>115</v>
      </c>
    </row>
    <row r="319" spans="1:11" x14ac:dyDescent="0.35">
      <c r="A319" t="s">
        <v>14</v>
      </c>
      <c r="B319" t="s">
        <v>17</v>
      </c>
      <c r="C319" t="s">
        <v>20</v>
      </c>
      <c r="D319">
        <v>11498</v>
      </c>
      <c r="E319">
        <v>17437</v>
      </c>
      <c r="F319">
        <v>1515</v>
      </c>
      <c r="G319">
        <v>711.08</v>
      </c>
      <c r="H319" s="4">
        <f t="shared" si="12"/>
        <v>8.6884211733669776</v>
      </c>
      <c r="I319" s="4">
        <f t="shared" si="13"/>
        <v>0.46935973597359737</v>
      </c>
      <c r="J319" s="4">
        <f t="shared" si="14"/>
        <v>40.779950679589383</v>
      </c>
      <c r="K319">
        <v>115</v>
      </c>
    </row>
    <row r="320" spans="1:11" x14ac:dyDescent="0.35">
      <c r="A320" t="s">
        <v>14</v>
      </c>
      <c r="B320" t="s">
        <v>17</v>
      </c>
      <c r="C320" t="s">
        <v>21</v>
      </c>
      <c r="D320">
        <v>24401</v>
      </c>
      <c r="E320">
        <v>43036</v>
      </c>
      <c r="F320">
        <v>1430</v>
      </c>
      <c r="G320">
        <v>2093.27</v>
      </c>
      <c r="H320" s="4">
        <f t="shared" si="12"/>
        <v>3.3227995166837068</v>
      </c>
      <c r="I320" s="4">
        <f t="shared" si="13"/>
        <v>1.4638251748251747</v>
      </c>
      <c r="J320" s="4">
        <f t="shared" si="14"/>
        <v>48.639975834185336</v>
      </c>
      <c r="K320">
        <v>170</v>
      </c>
    </row>
    <row r="321" spans="1:11" x14ac:dyDescent="0.35">
      <c r="A321" t="s">
        <v>14</v>
      </c>
      <c r="B321" t="s">
        <v>17</v>
      </c>
      <c r="C321" t="s">
        <v>19</v>
      </c>
      <c r="D321">
        <v>12957</v>
      </c>
      <c r="E321">
        <v>20183</v>
      </c>
      <c r="F321">
        <v>1565</v>
      </c>
      <c r="G321">
        <v>1148.4100000000001</v>
      </c>
      <c r="H321" s="4">
        <f t="shared" si="12"/>
        <v>7.7540504384878357</v>
      </c>
      <c r="I321" s="4">
        <f t="shared" si="13"/>
        <v>0.73380830670926522</v>
      </c>
      <c r="J321" s="4">
        <f t="shared" si="14"/>
        <v>56.899866224049944</v>
      </c>
      <c r="K321">
        <v>88</v>
      </c>
    </row>
    <row r="322" spans="1:11" x14ac:dyDescent="0.35">
      <c r="A322" t="s">
        <v>14</v>
      </c>
      <c r="B322" t="s">
        <v>17</v>
      </c>
      <c r="C322" t="s">
        <v>19</v>
      </c>
      <c r="D322">
        <v>14882</v>
      </c>
      <c r="E322">
        <v>39020</v>
      </c>
      <c r="F322">
        <v>1679</v>
      </c>
      <c r="G322">
        <v>2380.61</v>
      </c>
      <c r="H322" s="4">
        <f t="shared" si="12"/>
        <v>4.3029215786776014</v>
      </c>
      <c r="I322" s="4">
        <f t="shared" si="13"/>
        <v>1.417873734365694</v>
      </c>
      <c r="J322" s="4">
        <f t="shared" si="14"/>
        <v>61.009994874423377</v>
      </c>
      <c r="K322">
        <v>176</v>
      </c>
    </row>
    <row r="323" spans="1:11" x14ac:dyDescent="0.35">
      <c r="A323" t="s">
        <v>14</v>
      </c>
      <c r="B323" t="s">
        <v>17</v>
      </c>
      <c r="C323" t="s">
        <v>20</v>
      </c>
      <c r="D323">
        <v>8966</v>
      </c>
      <c r="E323">
        <v>37745</v>
      </c>
      <c r="F323">
        <v>1160</v>
      </c>
      <c r="G323">
        <v>1908.76</v>
      </c>
      <c r="H323" s="4">
        <f t="shared" ref="H323:H353" si="15">F323/E323*100</f>
        <v>3.0732547357265863</v>
      </c>
      <c r="I323" s="4">
        <f t="shared" ref="I323:I353" si="16">G323/F323</f>
        <v>1.6454827586206897</v>
      </c>
      <c r="J323" s="4">
        <f t="shared" ref="J323:J353" si="17">G323/E323*1000</f>
        <v>50.569876804874816</v>
      </c>
      <c r="K323">
        <v>28</v>
      </c>
    </row>
    <row r="324" spans="1:11" x14ac:dyDescent="0.35">
      <c r="A324" t="s">
        <v>14</v>
      </c>
      <c r="B324" t="s">
        <v>17</v>
      </c>
      <c r="C324" t="s">
        <v>20</v>
      </c>
      <c r="D324">
        <v>23544</v>
      </c>
      <c r="E324">
        <v>31279</v>
      </c>
      <c r="F324">
        <v>1299</v>
      </c>
      <c r="G324">
        <v>1542.68</v>
      </c>
      <c r="H324" s="4">
        <f t="shared" si="15"/>
        <v>4.1529460660507045</v>
      </c>
      <c r="I324" s="4">
        <f t="shared" si="16"/>
        <v>1.1875904541955351</v>
      </c>
      <c r="J324" s="4">
        <f t="shared" si="17"/>
        <v>49.319991048307173</v>
      </c>
      <c r="K324">
        <v>138</v>
      </c>
    </row>
    <row r="325" spans="1:11" x14ac:dyDescent="0.35">
      <c r="A325" t="s">
        <v>14</v>
      </c>
      <c r="B325" t="s">
        <v>17</v>
      </c>
      <c r="C325" t="s">
        <v>21</v>
      </c>
      <c r="D325">
        <v>16377</v>
      </c>
      <c r="E325">
        <v>38746</v>
      </c>
      <c r="F325">
        <v>775</v>
      </c>
      <c r="G325">
        <v>1423.92</v>
      </c>
      <c r="H325" s="4">
        <f t="shared" si="15"/>
        <v>2.0002064729262377</v>
      </c>
      <c r="I325" s="4">
        <f t="shared" si="16"/>
        <v>1.8373161290322582</v>
      </c>
      <c r="J325" s="4">
        <f t="shared" si="17"/>
        <v>36.75011614102101</v>
      </c>
      <c r="K325">
        <v>0</v>
      </c>
    </row>
    <row r="326" spans="1:11" x14ac:dyDescent="0.35">
      <c r="A326" t="s">
        <v>14</v>
      </c>
      <c r="B326" t="s">
        <v>17</v>
      </c>
      <c r="C326" t="s">
        <v>19</v>
      </c>
      <c r="D326">
        <v>19037</v>
      </c>
      <c r="E326">
        <v>35586</v>
      </c>
      <c r="F326">
        <v>1273</v>
      </c>
      <c r="G326">
        <v>1815.95</v>
      </c>
      <c r="H326" s="4">
        <f t="shared" si="15"/>
        <v>3.577249480132636</v>
      </c>
      <c r="I326" s="4">
        <f t="shared" si="16"/>
        <v>1.4265121759622938</v>
      </c>
      <c r="J326" s="4">
        <f t="shared" si="17"/>
        <v>51.02989939863992</v>
      </c>
      <c r="K326">
        <v>29</v>
      </c>
    </row>
    <row r="327" spans="1:11" x14ac:dyDescent="0.35">
      <c r="A327" t="s">
        <v>14</v>
      </c>
      <c r="B327" t="s">
        <v>17</v>
      </c>
      <c r="C327" t="s">
        <v>19</v>
      </c>
      <c r="D327">
        <v>17142</v>
      </c>
      <c r="E327">
        <v>24543</v>
      </c>
      <c r="F327">
        <v>928</v>
      </c>
      <c r="G327">
        <v>1829.93</v>
      </c>
      <c r="H327" s="4">
        <f t="shared" si="15"/>
        <v>3.7811188526260029</v>
      </c>
      <c r="I327" s="4">
        <f t="shared" si="16"/>
        <v>1.9719073275862069</v>
      </c>
      <c r="J327" s="4">
        <f t="shared" si="17"/>
        <v>74.560159719675667</v>
      </c>
      <c r="K327">
        <v>74</v>
      </c>
    </row>
    <row r="328" spans="1:11" x14ac:dyDescent="0.35">
      <c r="A328" t="s">
        <v>14</v>
      </c>
      <c r="B328" t="s">
        <v>17</v>
      </c>
      <c r="C328" t="s">
        <v>19</v>
      </c>
      <c r="D328">
        <v>21579</v>
      </c>
      <c r="E328">
        <v>38661</v>
      </c>
      <c r="F328">
        <v>673</v>
      </c>
      <c r="G328">
        <v>2659.1</v>
      </c>
      <c r="H328" s="4">
        <f t="shared" si="15"/>
        <v>1.740772354569204</v>
      </c>
      <c r="I328" s="4">
        <f t="shared" si="16"/>
        <v>3.9511144130757798</v>
      </c>
      <c r="J328" s="4">
        <f t="shared" si="17"/>
        <v>68.779907400222442</v>
      </c>
      <c r="K328">
        <v>36</v>
      </c>
    </row>
    <row r="329" spans="1:11" x14ac:dyDescent="0.35">
      <c r="A329" t="s">
        <v>14</v>
      </c>
      <c r="B329" t="s">
        <v>17</v>
      </c>
      <c r="C329" t="s">
        <v>20</v>
      </c>
      <c r="D329">
        <v>16181</v>
      </c>
      <c r="E329">
        <v>21449</v>
      </c>
      <c r="F329">
        <v>1135</v>
      </c>
      <c r="G329">
        <v>736.34</v>
      </c>
      <c r="H329" s="4">
        <f t="shared" si="15"/>
        <v>5.2916219870390222</v>
      </c>
      <c r="I329" s="4">
        <f t="shared" si="16"/>
        <v>0.64875770925110132</v>
      </c>
      <c r="J329" s="4">
        <f t="shared" si="17"/>
        <v>34.329805585341973</v>
      </c>
      <c r="K329">
        <v>43</v>
      </c>
    </row>
    <row r="330" spans="1:11" x14ac:dyDescent="0.35">
      <c r="A330" t="s">
        <v>14</v>
      </c>
      <c r="B330" t="s">
        <v>17</v>
      </c>
      <c r="C330" t="s">
        <v>20</v>
      </c>
      <c r="D330">
        <v>18764</v>
      </c>
      <c r="E330">
        <v>37866</v>
      </c>
      <c r="F330">
        <v>967</v>
      </c>
      <c r="G330">
        <v>1123.1099999999999</v>
      </c>
      <c r="H330" s="4">
        <f t="shared" si="15"/>
        <v>2.553742143347594</v>
      </c>
      <c r="I330" s="4">
        <f t="shared" si="16"/>
        <v>1.1614374353671146</v>
      </c>
      <c r="J330" s="4">
        <f t="shared" si="17"/>
        <v>29.660117255585483</v>
      </c>
      <c r="K330">
        <v>77</v>
      </c>
    </row>
    <row r="331" spans="1:11" x14ac:dyDescent="0.35">
      <c r="A331" t="s">
        <v>14</v>
      </c>
      <c r="B331" t="s">
        <v>17</v>
      </c>
      <c r="C331" t="s">
        <v>20</v>
      </c>
      <c r="D331">
        <v>21062</v>
      </c>
      <c r="E331">
        <v>29109</v>
      </c>
      <c r="F331">
        <v>1053</v>
      </c>
      <c r="G331">
        <v>1552.97</v>
      </c>
      <c r="H331" s="4">
        <f t="shared" si="15"/>
        <v>3.6174379058023294</v>
      </c>
      <c r="I331" s="4">
        <f t="shared" si="16"/>
        <v>1.4748053181386516</v>
      </c>
      <c r="J331" s="4">
        <f t="shared" si="17"/>
        <v>53.35016661513621</v>
      </c>
      <c r="K331">
        <v>0</v>
      </c>
    </row>
    <row r="332" spans="1:11" x14ac:dyDescent="0.35">
      <c r="A332" t="s">
        <v>14</v>
      </c>
      <c r="B332" t="s">
        <v>17</v>
      </c>
      <c r="C332" t="s">
        <v>20</v>
      </c>
      <c r="D332">
        <v>19205</v>
      </c>
      <c r="E332">
        <v>30900</v>
      </c>
      <c r="F332">
        <v>1030</v>
      </c>
      <c r="G332">
        <v>1848.13</v>
      </c>
      <c r="H332" s="4">
        <f t="shared" si="15"/>
        <v>3.3333333333333335</v>
      </c>
      <c r="I332" s="4">
        <f t="shared" si="16"/>
        <v>1.7943009708737865</v>
      </c>
      <c r="J332" s="4">
        <f t="shared" si="17"/>
        <v>59.810032362459545</v>
      </c>
      <c r="K332">
        <v>77</v>
      </c>
    </row>
    <row r="333" spans="1:11" x14ac:dyDescent="0.35">
      <c r="A333" t="s">
        <v>14</v>
      </c>
      <c r="B333" t="s">
        <v>18</v>
      </c>
      <c r="C333" t="s">
        <v>21</v>
      </c>
      <c r="D333">
        <v>20064</v>
      </c>
      <c r="E333">
        <v>37671</v>
      </c>
      <c r="F333">
        <v>843</v>
      </c>
      <c r="G333">
        <v>1636.43</v>
      </c>
      <c r="H333" s="4">
        <f t="shared" si="15"/>
        <v>2.2377956518276658</v>
      </c>
      <c r="I333" s="4">
        <f t="shared" si="16"/>
        <v>1.9411981020166074</v>
      </c>
      <c r="J333" s="4">
        <f t="shared" si="17"/>
        <v>43.440046720288819</v>
      </c>
      <c r="K333">
        <v>74</v>
      </c>
    </row>
    <row r="334" spans="1:11" x14ac:dyDescent="0.35">
      <c r="A334" t="s">
        <v>14</v>
      </c>
      <c r="B334" t="s">
        <v>18</v>
      </c>
      <c r="C334" t="s">
        <v>19</v>
      </c>
      <c r="D334">
        <v>10013</v>
      </c>
      <c r="E334">
        <v>27286</v>
      </c>
      <c r="F334">
        <v>986</v>
      </c>
      <c r="G334">
        <v>1910.29</v>
      </c>
      <c r="H334" s="4">
        <f t="shared" si="15"/>
        <v>3.6135747269662102</v>
      </c>
      <c r="I334" s="4">
        <f t="shared" si="16"/>
        <v>1.9374137931034483</v>
      </c>
      <c r="J334" s="4">
        <f t="shared" si="17"/>
        <v>70.009895184343605</v>
      </c>
      <c r="K334">
        <v>117</v>
      </c>
    </row>
    <row r="335" spans="1:11" x14ac:dyDescent="0.35">
      <c r="A335" t="s">
        <v>14</v>
      </c>
      <c r="B335" t="s">
        <v>18</v>
      </c>
      <c r="C335" t="s">
        <v>19</v>
      </c>
      <c r="D335">
        <v>10771</v>
      </c>
      <c r="E335">
        <v>38047</v>
      </c>
      <c r="F335">
        <v>896</v>
      </c>
      <c r="G335">
        <v>2522.9</v>
      </c>
      <c r="H335" s="4">
        <f t="shared" si="15"/>
        <v>2.3549819959523748</v>
      </c>
      <c r="I335" s="4">
        <f t="shared" si="16"/>
        <v>2.8157366071428571</v>
      </c>
      <c r="J335" s="4">
        <f t="shared" si="17"/>
        <v>66.310090151654535</v>
      </c>
      <c r="K335">
        <v>117</v>
      </c>
    </row>
    <row r="336" spans="1:11" x14ac:dyDescent="0.35">
      <c r="A336" t="s">
        <v>14</v>
      </c>
      <c r="B336" t="s">
        <v>18</v>
      </c>
      <c r="C336" t="s">
        <v>19</v>
      </c>
      <c r="D336">
        <v>22096</v>
      </c>
      <c r="E336">
        <v>39381</v>
      </c>
      <c r="F336">
        <v>932</v>
      </c>
      <c r="G336">
        <v>2441.62</v>
      </c>
      <c r="H336" s="4">
        <f t="shared" si="15"/>
        <v>2.3666234986414767</v>
      </c>
      <c r="I336" s="4">
        <f t="shared" si="16"/>
        <v>2.6197639484978539</v>
      </c>
      <c r="J336" s="4">
        <f t="shared" si="17"/>
        <v>61.999949214088012</v>
      </c>
      <c r="K336">
        <v>117</v>
      </c>
    </row>
    <row r="337" spans="1:11" x14ac:dyDescent="0.35">
      <c r="A337" t="s">
        <v>14</v>
      </c>
      <c r="B337" t="s">
        <v>18</v>
      </c>
      <c r="C337" t="s">
        <v>21</v>
      </c>
      <c r="D337">
        <v>13850</v>
      </c>
      <c r="E337">
        <v>38187</v>
      </c>
      <c r="F337">
        <v>1901</v>
      </c>
      <c r="G337">
        <v>1426.67</v>
      </c>
      <c r="H337" s="4">
        <f t="shared" si="15"/>
        <v>4.978133919920392</v>
      </c>
      <c r="I337" s="4">
        <f t="shared" si="16"/>
        <v>0.7504839558127302</v>
      </c>
      <c r="J337" s="4">
        <f t="shared" si="17"/>
        <v>37.360096367873886</v>
      </c>
      <c r="K337">
        <v>209</v>
      </c>
    </row>
    <row r="338" spans="1:11" x14ac:dyDescent="0.35">
      <c r="A338" t="s">
        <v>14</v>
      </c>
      <c r="B338" t="s">
        <v>18</v>
      </c>
      <c r="C338" t="s">
        <v>19</v>
      </c>
      <c r="D338">
        <v>22634</v>
      </c>
      <c r="E338">
        <v>37345</v>
      </c>
      <c r="F338">
        <v>1167</v>
      </c>
      <c r="G338">
        <v>1342.55</v>
      </c>
      <c r="H338" s="4">
        <f t="shared" si="15"/>
        <v>3.1249163207926092</v>
      </c>
      <c r="I338" s="4">
        <f t="shared" si="16"/>
        <v>1.1504284490145673</v>
      </c>
      <c r="J338" s="4">
        <f t="shared" si="17"/>
        <v>35.949926362297496</v>
      </c>
      <c r="K338">
        <v>104</v>
      </c>
    </row>
    <row r="339" spans="1:11" x14ac:dyDescent="0.35">
      <c r="A339" t="s">
        <v>14</v>
      </c>
      <c r="B339" t="s">
        <v>18</v>
      </c>
      <c r="C339" t="s">
        <v>19</v>
      </c>
      <c r="D339">
        <v>20232</v>
      </c>
      <c r="E339">
        <v>33437</v>
      </c>
      <c r="F339">
        <v>1266</v>
      </c>
      <c r="G339">
        <v>880.73</v>
      </c>
      <c r="H339" s="4">
        <f t="shared" si="15"/>
        <v>3.7862248407452821</v>
      </c>
      <c r="I339" s="4">
        <f t="shared" si="16"/>
        <v>0.69567930489731444</v>
      </c>
      <c r="J339" s="4">
        <f t="shared" si="17"/>
        <v>26.33998265394623</v>
      </c>
      <c r="K339">
        <v>126</v>
      </c>
    </row>
    <row r="340" spans="1:11" x14ac:dyDescent="0.35">
      <c r="A340" t="s">
        <v>14</v>
      </c>
      <c r="B340" t="s">
        <v>18</v>
      </c>
      <c r="C340" t="s">
        <v>20</v>
      </c>
      <c r="D340">
        <v>24414</v>
      </c>
      <c r="E340">
        <v>36135</v>
      </c>
      <c r="F340">
        <v>1970</v>
      </c>
      <c r="G340">
        <v>1390.11</v>
      </c>
      <c r="H340" s="4">
        <f t="shared" si="15"/>
        <v>5.4517780545177805</v>
      </c>
      <c r="I340" s="4">
        <f t="shared" si="16"/>
        <v>0.7056395939086294</v>
      </c>
      <c r="J340" s="4">
        <f t="shared" si="17"/>
        <v>38.469904524699039</v>
      </c>
      <c r="K340">
        <v>185</v>
      </c>
    </row>
    <row r="341" spans="1:11" x14ac:dyDescent="0.35">
      <c r="A341" t="s">
        <v>14</v>
      </c>
      <c r="B341" t="s">
        <v>18</v>
      </c>
      <c r="C341" t="s">
        <v>21</v>
      </c>
      <c r="D341">
        <v>15561</v>
      </c>
      <c r="E341">
        <v>28273</v>
      </c>
      <c r="F341">
        <v>1226</v>
      </c>
      <c r="G341">
        <v>1445.6</v>
      </c>
      <c r="H341" s="4">
        <f t="shared" si="15"/>
        <v>4.3362925759558584</v>
      </c>
      <c r="I341" s="4">
        <f t="shared" si="16"/>
        <v>1.1791190864600325</v>
      </c>
      <c r="J341" s="4">
        <f t="shared" si="17"/>
        <v>51.13005340784494</v>
      </c>
      <c r="K341">
        <v>34</v>
      </c>
    </row>
    <row r="342" spans="1:11" x14ac:dyDescent="0.35">
      <c r="A342" t="s">
        <v>14</v>
      </c>
      <c r="B342" t="s">
        <v>18</v>
      </c>
      <c r="C342" t="s">
        <v>21</v>
      </c>
      <c r="D342">
        <v>7839</v>
      </c>
      <c r="E342">
        <v>19329</v>
      </c>
      <c r="F342">
        <v>871</v>
      </c>
      <c r="G342">
        <v>1386.66</v>
      </c>
      <c r="H342" s="4">
        <f t="shared" si="15"/>
        <v>4.5061824201976304</v>
      </c>
      <c r="I342" s="4">
        <f t="shared" si="16"/>
        <v>1.5920321469575203</v>
      </c>
      <c r="J342" s="4">
        <f t="shared" si="17"/>
        <v>71.739872730094675</v>
      </c>
      <c r="K342">
        <v>104</v>
      </c>
    </row>
    <row r="343" spans="1:11" x14ac:dyDescent="0.35">
      <c r="A343" t="s">
        <v>14</v>
      </c>
      <c r="B343" t="s">
        <v>18</v>
      </c>
      <c r="C343" t="s">
        <v>19</v>
      </c>
      <c r="D343">
        <v>19771</v>
      </c>
      <c r="E343">
        <v>29697</v>
      </c>
      <c r="F343">
        <v>1748</v>
      </c>
      <c r="G343">
        <v>861.51</v>
      </c>
      <c r="H343" s="4">
        <f t="shared" si="15"/>
        <v>5.8861164427383237</v>
      </c>
      <c r="I343" s="4">
        <f t="shared" si="16"/>
        <v>0.49285469107551488</v>
      </c>
      <c r="J343" s="4">
        <f t="shared" si="17"/>
        <v>29.010001010203052</v>
      </c>
      <c r="K343">
        <v>96</v>
      </c>
    </row>
    <row r="344" spans="1:11" x14ac:dyDescent="0.35">
      <c r="A344" t="s">
        <v>14</v>
      </c>
      <c r="B344" t="s">
        <v>18</v>
      </c>
      <c r="C344" t="s">
        <v>20</v>
      </c>
      <c r="D344">
        <v>20227</v>
      </c>
      <c r="E344">
        <v>35631</v>
      </c>
      <c r="F344">
        <v>1694</v>
      </c>
      <c r="G344">
        <v>1702.81</v>
      </c>
      <c r="H344" s="4">
        <f t="shared" si="15"/>
        <v>4.7542869972776511</v>
      </c>
      <c r="I344" s="4">
        <f t="shared" si="16"/>
        <v>1.0052007083825265</v>
      </c>
      <c r="J344" s="4">
        <f t="shared" si="17"/>
        <v>47.790126575173304</v>
      </c>
      <c r="K344">
        <v>156</v>
      </c>
    </row>
    <row r="345" spans="1:11" x14ac:dyDescent="0.35">
      <c r="A345" t="s">
        <v>14</v>
      </c>
      <c r="B345" t="s">
        <v>18</v>
      </c>
      <c r="C345" t="s">
        <v>20</v>
      </c>
      <c r="D345">
        <v>24999</v>
      </c>
      <c r="E345">
        <v>43445</v>
      </c>
      <c r="F345">
        <v>1565</v>
      </c>
      <c r="G345">
        <v>2591.06</v>
      </c>
      <c r="H345" s="4">
        <f t="shared" si="15"/>
        <v>3.6022557256301067</v>
      </c>
      <c r="I345" s="4">
        <f t="shared" si="16"/>
        <v>1.655629392971246</v>
      </c>
      <c r="J345" s="4">
        <f t="shared" si="17"/>
        <v>59.640004603521696</v>
      </c>
      <c r="K345">
        <v>148</v>
      </c>
    </row>
    <row r="346" spans="1:11" x14ac:dyDescent="0.35">
      <c r="A346" t="s">
        <v>14</v>
      </c>
      <c r="B346" t="s">
        <v>18</v>
      </c>
      <c r="C346" t="s">
        <v>20</v>
      </c>
      <c r="D346">
        <v>17418</v>
      </c>
      <c r="E346">
        <v>33666</v>
      </c>
      <c r="F346">
        <v>1720</v>
      </c>
      <c r="G346">
        <v>1201.54</v>
      </c>
      <c r="H346" s="4">
        <f t="shared" si="15"/>
        <v>5.1090120596447459</v>
      </c>
      <c r="I346" s="4">
        <f t="shared" si="16"/>
        <v>0.69856976744186039</v>
      </c>
      <c r="J346" s="4">
        <f t="shared" si="17"/>
        <v>35.690013663636904</v>
      </c>
      <c r="K346">
        <v>156</v>
      </c>
    </row>
    <row r="347" spans="1:11" x14ac:dyDescent="0.35">
      <c r="A347" t="s">
        <v>14</v>
      </c>
      <c r="B347" t="s">
        <v>18</v>
      </c>
      <c r="C347" t="s">
        <v>21</v>
      </c>
      <c r="D347">
        <v>5940</v>
      </c>
      <c r="E347">
        <v>24197</v>
      </c>
      <c r="F347">
        <v>1032</v>
      </c>
      <c r="G347">
        <v>1531.67</v>
      </c>
      <c r="H347" s="4">
        <f t="shared" si="15"/>
        <v>4.264991527875357</v>
      </c>
      <c r="I347" s="4">
        <f t="shared" si="16"/>
        <v>1.4841763565891473</v>
      </c>
      <c r="J347" s="4">
        <f t="shared" si="17"/>
        <v>63.299995867256278</v>
      </c>
      <c r="K347">
        <v>75</v>
      </c>
    </row>
    <row r="348" spans="1:11" x14ac:dyDescent="0.35">
      <c r="A348" t="s">
        <v>14</v>
      </c>
      <c r="B348" t="s">
        <v>18</v>
      </c>
      <c r="C348" t="s">
        <v>19</v>
      </c>
      <c r="D348">
        <v>15650</v>
      </c>
      <c r="E348">
        <v>26303</v>
      </c>
      <c r="F348">
        <v>1338</v>
      </c>
      <c r="G348">
        <v>1372.75</v>
      </c>
      <c r="H348" s="4">
        <f t="shared" si="15"/>
        <v>5.0868722198988703</v>
      </c>
      <c r="I348" s="4">
        <f t="shared" si="16"/>
        <v>1.0259715994020926</v>
      </c>
      <c r="J348" s="4">
        <f t="shared" si="17"/>
        <v>52.189864274037184</v>
      </c>
      <c r="K348">
        <v>156</v>
      </c>
    </row>
    <row r="349" spans="1:11" x14ac:dyDescent="0.35">
      <c r="A349" t="s">
        <v>14</v>
      </c>
      <c r="B349" t="s">
        <v>18</v>
      </c>
      <c r="C349" t="s">
        <v>20</v>
      </c>
      <c r="D349">
        <v>20976</v>
      </c>
      <c r="E349">
        <v>30743</v>
      </c>
      <c r="F349">
        <v>807</v>
      </c>
      <c r="G349">
        <v>1181.1500000000001</v>
      </c>
      <c r="H349" s="4">
        <f t="shared" si="15"/>
        <v>2.6249878021012916</v>
      </c>
      <c r="I349" s="4">
        <f t="shared" si="16"/>
        <v>1.4636307311028502</v>
      </c>
      <c r="J349" s="4">
        <f t="shared" si="17"/>
        <v>38.420128159255768</v>
      </c>
      <c r="K349">
        <v>19</v>
      </c>
    </row>
    <row r="350" spans="1:11" x14ac:dyDescent="0.35">
      <c r="A350" t="s">
        <v>14</v>
      </c>
      <c r="B350" t="s">
        <v>18</v>
      </c>
      <c r="C350" t="s">
        <v>20</v>
      </c>
      <c r="D350">
        <v>16626</v>
      </c>
      <c r="E350">
        <v>30078</v>
      </c>
      <c r="F350">
        <v>913</v>
      </c>
      <c r="G350">
        <v>1837.16</v>
      </c>
      <c r="H350" s="4">
        <f t="shared" si="15"/>
        <v>3.035441186249086</v>
      </c>
      <c r="I350" s="4">
        <f t="shared" si="16"/>
        <v>2.0122234392113909</v>
      </c>
      <c r="J350" s="4">
        <f t="shared" si="17"/>
        <v>61.079859033180405</v>
      </c>
      <c r="K350">
        <v>102</v>
      </c>
    </row>
    <row r="351" spans="1:11" x14ac:dyDescent="0.35">
      <c r="A351" t="s">
        <v>14</v>
      </c>
      <c r="B351" t="s">
        <v>18</v>
      </c>
      <c r="C351" t="s">
        <v>20</v>
      </c>
      <c r="D351">
        <v>16152</v>
      </c>
      <c r="E351">
        <v>30160</v>
      </c>
      <c r="F351">
        <v>840</v>
      </c>
      <c r="G351">
        <v>763.05</v>
      </c>
      <c r="H351" s="4">
        <f t="shared" si="15"/>
        <v>2.7851458885941645</v>
      </c>
      <c r="I351" s="4">
        <f t="shared" si="16"/>
        <v>0.90839285714285711</v>
      </c>
      <c r="J351" s="4">
        <f t="shared" si="17"/>
        <v>25.300066312997345</v>
      </c>
      <c r="K351">
        <v>19</v>
      </c>
    </row>
    <row r="352" spans="1:11" x14ac:dyDescent="0.35">
      <c r="A352" t="s">
        <v>14</v>
      </c>
      <c r="B352" t="s">
        <v>18</v>
      </c>
      <c r="C352" t="s">
        <v>20</v>
      </c>
      <c r="D352">
        <v>24534</v>
      </c>
      <c r="E352">
        <v>43382</v>
      </c>
      <c r="F352">
        <v>874</v>
      </c>
      <c r="G352">
        <v>2876.23</v>
      </c>
      <c r="H352" s="4">
        <f t="shared" si="15"/>
        <v>2.0146604582545757</v>
      </c>
      <c r="I352" s="4">
        <f t="shared" si="16"/>
        <v>3.2908810068649887</v>
      </c>
      <c r="J352" s="4">
        <f t="shared" si="17"/>
        <v>66.300078373518971</v>
      </c>
      <c r="K352">
        <v>102</v>
      </c>
    </row>
    <row r="353" spans="1:11" x14ac:dyDescent="0.35">
      <c r="A353" t="s">
        <v>14</v>
      </c>
      <c r="B353" t="s">
        <v>18</v>
      </c>
      <c r="C353" t="s">
        <v>20</v>
      </c>
      <c r="D353">
        <v>14052</v>
      </c>
      <c r="E353">
        <v>36479</v>
      </c>
      <c r="F353">
        <v>888</v>
      </c>
      <c r="G353">
        <v>2456.86</v>
      </c>
      <c r="H353" s="4">
        <f t="shared" si="15"/>
        <v>2.4342772554072205</v>
      </c>
      <c r="I353" s="4">
        <f t="shared" si="16"/>
        <v>2.7667342342342343</v>
      </c>
      <c r="J353" s="4">
        <f t="shared" si="17"/>
        <v>67.3499821815291</v>
      </c>
      <c r="K353">
        <v>102</v>
      </c>
    </row>
  </sheetData>
  <conditionalFormatting sqref="M13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3C208-327B-4CB9-BA96-1F0864E09164}">
  <dimension ref="A1:K9"/>
  <sheetViews>
    <sheetView zoomScale="108" zoomScaleNormal="152" workbookViewId="0">
      <selection activeCell="H12" sqref="H12"/>
    </sheetView>
  </sheetViews>
  <sheetFormatPr defaultRowHeight="14.5" x14ac:dyDescent="0.35"/>
  <cols>
    <col min="1" max="1" width="12.7265625" bestFit="1" customWidth="1"/>
    <col min="8" max="8" width="12.7265625" bestFit="1" customWidth="1"/>
    <col min="9" max="9" width="8.81640625" bestFit="1" customWidth="1"/>
  </cols>
  <sheetData>
    <row r="1" spans="1:11" x14ac:dyDescent="0.35">
      <c r="A1" s="3" t="s">
        <v>34</v>
      </c>
      <c r="B1" s="3" t="s">
        <v>33</v>
      </c>
      <c r="C1" s="3" t="s">
        <v>26</v>
      </c>
      <c r="D1" s="3" t="s">
        <v>27</v>
      </c>
      <c r="H1" s="3"/>
      <c r="I1" s="3"/>
      <c r="J1" s="3"/>
      <c r="K1" s="3"/>
    </row>
    <row r="2" spans="1:11" x14ac:dyDescent="0.35">
      <c r="A2" t="s">
        <v>3</v>
      </c>
      <c r="B2" s="4">
        <f>AVERAGE(Sheet1!D2:D353)</f>
        <v>15692.102272727272</v>
      </c>
      <c r="C2">
        <f>MIN(Sheet1!D2:D353)</f>
        <v>5635</v>
      </c>
      <c r="D2">
        <f>MAX(Sheet1!D2:D353)</f>
        <v>24999</v>
      </c>
    </row>
    <row r="3" spans="1:11" x14ac:dyDescent="0.35">
      <c r="A3" t="s">
        <v>4</v>
      </c>
      <c r="B3" s="4">
        <f>AVERAGE(Sheet1!E2:E353)</f>
        <v>29132.0625</v>
      </c>
      <c r="C3">
        <f>MIN(Sheet1!E2:E353)</f>
        <v>13029</v>
      </c>
      <c r="D3">
        <f>MAX(Sheet1!E2:E353)</f>
        <v>44621</v>
      </c>
    </row>
    <row r="4" spans="1:11" x14ac:dyDescent="0.35">
      <c r="A4" t="s">
        <v>5</v>
      </c>
      <c r="B4" s="4">
        <f>AVERAGE(Sheet1!F2:F353)</f>
        <v>735.44034090909088</v>
      </c>
      <c r="C4">
        <f>MIN(Sheet1!F2:F353)</f>
        <v>165</v>
      </c>
      <c r="D4">
        <f>MAX(Sheet1!F2:F353)</f>
        <v>1970</v>
      </c>
    </row>
    <row r="5" spans="1:11" x14ac:dyDescent="0.35">
      <c r="A5" t="s">
        <v>29</v>
      </c>
      <c r="B5" s="4">
        <f>AVERAGE(Sheet1!G2:G353)</f>
        <v>2733.0369318181843</v>
      </c>
      <c r="C5">
        <f>MIN(Sheet1!G2:G353)</f>
        <v>664.74</v>
      </c>
      <c r="D5">
        <f>MAX(Sheet1!G2:G353)</f>
        <v>7737.24</v>
      </c>
    </row>
    <row r="6" spans="1:11" x14ac:dyDescent="0.35">
      <c r="A6" t="s">
        <v>30</v>
      </c>
      <c r="B6" s="4">
        <f>AVERAGE(Sheet1!H2:H353)</f>
        <v>2.6303455016554427</v>
      </c>
      <c r="C6" s="4">
        <f>MIN(Sheet1!H2:H353)</f>
        <v>0.50910212897253937</v>
      </c>
      <c r="D6" s="4">
        <f>MAX(Sheet1!H2:H353)</f>
        <v>9.3665641283194176</v>
      </c>
    </row>
    <row r="7" spans="1:11" x14ac:dyDescent="0.35">
      <c r="A7" t="s">
        <v>31</v>
      </c>
      <c r="B7" s="4">
        <f>AVERAGE(Sheet1!I2:I353)</f>
        <v>6.2455750896894395</v>
      </c>
      <c r="C7" s="4">
        <f>MIN(Sheet1!I2:I353)</f>
        <v>0.46935973597359737</v>
      </c>
      <c r="D7" s="4">
        <f>MAX(Sheet1!I2:I353)</f>
        <v>40.985119047619051</v>
      </c>
    </row>
    <row r="8" spans="1:11" x14ac:dyDescent="0.35">
      <c r="A8" t="s">
        <v>32</v>
      </c>
      <c r="B8" s="4">
        <f>AVERAGE(Sheet1!J2:J353)</f>
        <v>96.540538788855216</v>
      </c>
      <c r="C8" s="4">
        <f>MIN(Sheet1!J2:J353)</f>
        <v>25.020009018149022</v>
      </c>
      <c r="D8" s="4">
        <f>MAX(Sheet1!J2:J353)</f>
        <v>249.77020047273047</v>
      </c>
    </row>
    <row r="9" spans="1:11" x14ac:dyDescent="0.35">
      <c r="A9" t="s">
        <v>10</v>
      </c>
      <c r="B9" s="4">
        <f>AVERAGE(Sheet1!K2:K353)</f>
        <v>50.715909090909093</v>
      </c>
      <c r="C9">
        <f>MIN(Sheet1!K2:K353)</f>
        <v>0</v>
      </c>
      <c r="D9">
        <f>MAX(Sheet1!K2:K353)</f>
        <v>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32129-0C69-4352-B178-BCE1D109509C}">
  <dimension ref="A3:B7"/>
  <sheetViews>
    <sheetView topLeftCell="A2" zoomScale="96" workbookViewId="0">
      <selection activeCell="D14" sqref="D14"/>
    </sheetView>
  </sheetViews>
  <sheetFormatPr defaultRowHeight="14.5" x14ac:dyDescent="0.35"/>
  <cols>
    <col min="1" max="1" width="16.453125" bestFit="1" customWidth="1"/>
    <col min="2" max="2" width="16.7265625" bestFit="1" customWidth="1"/>
  </cols>
  <sheetData>
    <row r="3" spans="1:2" x14ac:dyDescent="0.35">
      <c r="A3" s="1" t="s">
        <v>22</v>
      </c>
      <c r="B3" t="s">
        <v>35</v>
      </c>
    </row>
    <row r="4" spans="1:2" x14ac:dyDescent="0.35">
      <c r="A4" s="2" t="s">
        <v>12</v>
      </c>
      <c r="B4" s="4">
        <v>1.5240963855421688</v>
      </c>
    </row>
    <row r="5" spans="1:2" x14ac:dyDescent="0.35">
      <c r="A5" s="2" t="s">
        <v>11</v>
      </c>
      <c r="B5" s="4">
        <v>3.4447826086956503</v>
      </c>
    </row>
    <row r="6" spans="1:2" x14ac:dyDescent="0.35">
      <c r="A6" s="2" t="s">
        <v>14</v>
      </c>
      <c r="B6" s="4">
        <v>3.7695145631067968</v>
      </c>
    </row>
    <row r="7" spans="1:2" x14ac:dyDescent="0.35">
      <c r="A7" s="2" t="s">
        <v>13</v>
      </c>
      <c r="B7" s="4">
        <v>1.2727027027027022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E2CD4-3FD0-4D00-93BF-3E7D01DFD118}">
  <dimension ref="A3:B7"/>
  <sheetViews>
    <sheetView workbookViewId="0">
      <selection activeCell="M15" sqref="M15"/>
    </sheetView>
  </sheetViews>
  <sheetFormatPr defaultRowHeight="14.5" x14ac:dyDescent="0.35"/>
  <cols>
    <col min="1" max="1" width="16.453125" bestFit="1" customWidth="1"/>
    <col min="2" max="2" width="20.54296875" bestFit="1" customWidth="1"/>
  </cols>
  <sheetData>
    <row r="3" spans="1:2" x14ac:dyDescent="0.35">
      <c r="A3" s="1" t="s">
        <v>22</v>
      </c>
      <c r="B3" t="s">
        <v>36</v>
      </c>
    </row>
    <row r="4" spans="1:2" x14ac:dyDescent="0.35">
      <c r="A4" s="2" t="s">
        <v>12</v>
      </c>
      <c r="B4" s="4">
        <v>28.963855421686748</v>
      </c>
    </row>
    <row r="5" spans="1:2" x14ac:dyDescent="0.35">
      <c r="A5" s="2" t="s">
        <v>11</v>
      </c>
      <c r="B5" s="4">
        <v>59.260869565217391</v>
      </c>
    </row>
    <row r="6" spans="1:2" x14ac:dyDescent="0.35">
      <c r="A6" s="2" t="s">
        <v>14</v>
      </c>
      <c r="B6" s="4">
        <v>82.572815533980588</v>
      </c>
    </row>
    <row r="7" spans="1:2" x14ac:dyDescent="0.35">
      <c r="A7" s="2" t="s">
        <v>13</v>
      </c>
      <c r="B7" s="4">
        <v>20.148648648648649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47FA2-E03F-49EC-A47D-7625A03FF322}">
  <dimension ref="A3:B6"/>
  <sheetViews>
    <sheetView workbookViewId="0">
      <selection activeCell="P11" sqref="P11"/>
    </sheetView>
  </sheetViews>
  <sheetFormatPr defaultRowHeight="14.5" x14ac:dyDescent="0.35"/>
  <cols>
    <col min="1" max="1" width="12.36328125" bestFit="1" customWidth="1"/>
    <col min="2" max="2" width="16.6328125" bestFit="1" customWidth="1"/>
  </cols>
  <sheetData>
    <row r="3" spans="1:2" x14ac:dyDescent="0.35">
      <c r="A3" s="1" t="s">
        <v>22</v>
      </c>
      <c r="B3" t="s">
        <v>35</v>
      </c>
    </row>
    <row r="4" spans="1:2" x14ac:dyDescent="0.35">
      <c r="A4" s="2" t="s">
        <v>21</v>
      </c>
      <c r="B4" s="4">
        <v>2.8692708333333332</v>
      </c>
    </row>
    <row r="5" spans="1:2" x14ac:dyDescent="0.35">
      <c r="A5" s="2" t="s">
        <v>19</v>
      </c>
      <c r="B5" s="4">
        <v>2.804680851063829</v>
      </c>
    </row>
    <row r="6" spans="1:2" x14ac:dyDescent="0.35">
      <c r="A6" s="2" t="s">
        <v>20</v>
      </c>
      <c r="B6" s="4">
        <v>2.3874691358024696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C50B7-B63C-4A41-8282-DFCDE6651A88}">
  <dimension ref="A3:B6"/>
  <sheetViews>
    <sheetView workbookViewId="0">
      <selection activeCell="O10" sqref="O10"/>
    </sheetView>
  </sheetViews>
  <sheetFormatPr defaultRowHeight="14.5" x14ac:dyDescent="0.35"/>
  <cols>
    <col min="1" max="1" width="12.36328125" bestFit="1" customWidth="1"/>
    <col min="2" max="2" width="20.54296875" bestFit="1" customWidth="1"/>
  </cols>
  <sheetData>
    <row r="3" spans="1:2" x14ac:dyDescent="0.35">
      <c r="A3" s="1" t="s">
        <v>22</v>
      </c>
      <c r="B3" t="s">
        <v>36</v>
      </c>
    </row>
    <row r="4" spans="1:2" x14ac:dyDescent="0.35">
      <c r="A4" s="2" t="s">
        <v>21</v>
      </c>
      <c r="B4" s="4">
        <v>56.125</v>
      </c>
    </row>
    <row r="5" spans="1:2" x14ac:dyDescent="0.35">
      <c r="A5" s="2" t="s">
        <v>19</v>
      </c>
      <c r="B5" s="4">
        <v>55.531914893617021</v>
      </c>
    </row>
    <row r="6" spans="1:2" x14ac:dyDescent="0.35">
      <c r="A6" s="2" t="s">
        <v>20</v>
      </c>
      <c r="B6" s="4">
        <v>44.716049382716051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Pivot Table Industry</vt:lpstr>
      <vt:lpstr>Pivot Table Ad Type</vt:lpstr>
      <vt:lpstr>Data Validation</vt:lpstr>
      <vt:lpstr>Sheet1</vt:lpstr>
      <vt:lpstr>Objective 1 Analysis</vt:lpstr>
      <vt:lpstr>Objective 2 CTR</vt:lpstr>
      <vt:lpstr>Objective 2 Conversions</vt:lpstr>
      <vt:lpstr>Objective 3 CTR</vt:lpstr>
      <vt:lpstr>Objective 3 Conversions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hamna muhammed</dc:creator>
  <cp:lastModifiedBy>hamna muhammed</cp:lastModifiedBy>
  <dcterms:created xsi:type="dcterms:W3CDTF">2026-06-09T05:40:32Z</dcterms:created>
  <dcterms:modified xsi:type="dcterms:W3CDTF">2026-07-24T03:41:24Z</dcterms:modified>
</cp:coreProperties>
</file>